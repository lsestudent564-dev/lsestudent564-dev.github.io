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18" codeName="{00000000-0000-0000-0000-000000000000}"/>
  <workbookPr filterPrivacy="1" codeName="ThisWorkbook"/>
  <xr:revisionPtr revIDLastSave="3545" documentId="13_ncr:1_{3B3C1F75-0AC3-4517-AC62-13B519386AF6}" xr6:coauthVersionLast="47" xr6:coauthVersionMax="47" xr10:uidLastSave="{58B9C15C-CA09-4A7B-A3B7-4C16C31FA34C}"/>
  <bookViews>
    <workbookView xWindow="-108" yWindow="-108" windowWidth="23256" windowHeight="12456" tabRatio="774" xr2:uid="{00000000-000D-0000-FFFF-FFFF00000000}"/>
  </bookViews>
  <sheets>
    <sheet name="Read me" sheetId="27" r:id="rId1"/>
    <sheet name="Overview" sheetId="6" r:id="rId2"/>
    <sheet name="Jan" sheetId="19" r:id="rId3"/>
    <sheet name="Feb" sheetId="20" r:id="rId4"/>
    <sheet name="Mar" sheetId="21" r:id="rId5"/>
    <sheet name="Apr" sheetId="22" r:id="rId6"/>
    <sheet name="May" sheetId="17" r:id="rId7"/>
    <sheet name="Jun" sheetId="18" r:id="rId8"/>
    <sheet name="Jul" sheetId="16" r:id="rId9"/>
    <sheet name="Aug" sheetId="15" r:id="rId10"/>
    <sheet name="Sep" sheetId="23" r:id="rId11"/>
    <sheet name="Oct" sheetId="24" r:id="rId12"/>
    <sheet name="Nov" sheetId="4" r:id="rId13"/>
    <sheet name="Dec" sheetId="14" r:id="rId14"/>
  </sheets>
  <definedNames>
    <definedName name="_xleta.IFERROR" hidden="1" xlm="1">#NAME?</definedName>
    <definedName name="RegiónDeTítuloDeFila1..C8">#REF!</definedName>
    <definedName name="RegiónDeTítuloDeFila2..C10">#REF!</definedName>
    <definedName name="TítuloDeColumna2">#REF!</definedName>
    <definedName name="TítuloDeColumna3">#REF!</definedName>
    <definedName name="TotalDeGastosMensuales">SUM(#REF!)</definedName>
    <definedName name="TotalDeIngresosMensuales">SUM(#REF!)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" i="19" l="1"/>
  <c r="N30" i="19" s="1"/>
  <c r="O28" i="19"/>
  <c r="Q28" i="19" s="1"/>
  <c r="P28" i="19"/>
  <c r="O29" i="19"/>
  <c r="P29" i="19"/>
  <c r="Q29" i="19" s="1"/>
  <c r="Q27" i="19"/>
  <c r="P27" i="19"/>
  <c r="O27" i="19"/>
  <c r="P26" i="19"/>
  <c r="O26" i="19"/>
  <c r="O21" i="19"/>
  <c r="P21" i="19"/>
  <c r="Q21" i="19"/>
  <c r="O22" i="19"/>
  <c r="P22" i="19"/>
  <c r="Q22" i="19"/>
  <c r="O23" i="19"/>
  <c r="P23" i="19"/>
  <c r="Q23" i="19"/>
  <c r="O24" i="19"/>
  <c r="P24" i="19"/>
  <c r="Q24" i="19"/>
  <c r="O25" i="19"/>
  <c r="P25" i="19"/>
  <c r="O18" i="19"/>
  <c r="P18" i="19"/>
  <c r="P16" i="19" s="1"/>
  <c r="P17" i="19"/>
  <c r="O17" i="19"/>
  <c r="Q18" i="19"/>
  <c r="Q17" i="19"/>
  <c r="P9" i="19"/>
  <c r="O9" i="19"/>
  <c r="O16" i="19"/>
  <c r="O12" i="19"/>
  <c r="P12" i="19"/>
  <c r="Q12" i="19" s="1"/>
  <c r="O13" i="19"/>
  <c r="P13" i="19"/>
  <c r="Q13" i="19"/>
  <c r="O14" i="19"/>
  <c r="P14" i="19"/>
  <c r="Q14" i="19" s="1"/>
  <c r="O15" i="19"/>
  <c r="Q15" i="19" s="1"/>
  <c r="P15" i="19"/>
  <c r="Q11" i="19"/>
  <c r="P11" i="19"/>
  <c r="O11" i="19"/>
  <c r="Q10" i="19"/>
  <c r="P10" i="19"/>
  <c r="O10" i="19"/>
  <c r="N29" i="19"/>
  <c r="N28" i="19"/>
  <c r="N27" i="19"/>
  <c r="N26" i="19"/>
  <c r="N25" i="19"/>
  <c r="N24" i="19"/>
  <c r="N23" i="19"/>
  <c r="N22" i="19"/>
  <c r="N21" i="19"/>
  <c r="N20" i="19"/>
  <c r="N9" i="19"/>
  <c r="N16" i="19"/>
  <c r="N19" i="19"/>
  <c r="N18" i="19"/>
  <c r="N17" i="19"/>
  <c r="N15" i="19"/>
  <c r="N14" i="19"/>
  <c r="N13" i="19"/>
  <c r="N12" i="19"/>
  <c r="N11" i="19"/>
  <c r="N10" i="19"/>
  <c r="J30" i="19"/>
  <c r="I30" i="19"/>
  <c r="J26" i="19"/>
  <c r="I26" i="19"/>
  <c r="J19" i="19"/>
  <c r="I19" i="19"/>
  <c r="J16" i="19"/>
  <c r="I16" i="19"/>
  <c r="K16" i="19" s="1"/>
  <c r="J9" i="19"/>
  <c r="I9" i="19"/>
  <c r="K9" i="19"/>
  <c r="K26" i="19"/>
  <c r="K29" i="19"/>
  <c r="K28" i="19"/>
  <c r="K27" i="19"/>
  <c r="K25" i="19"/>
  <c r="K24" i="19"/>
  <c r="K23" i="19"/>
  <c r="K22" i="19"/>
  <c r="K21" i="19"/>
  <c r="K20" i="19"/>
  <c r="K18" i="19"/>
  <c r="K17" i="19"/>
  <c r="K15" i="19"/>
  <c r="K14" i="19"/>
  <c r="K13" i="19"/>
  <c r="K12" i="19"/>
  <c r="K11" i="19"/>
  <c r="K10" i="19"/>
  <c r="G30" i="19"/>
  <c r="F30" i="19"/>
  <c r="G9" i="19"/>
  <c r="F9" i="19"/>
  <c r="G16" i="19"/>
  <c r="F16" i="19"/>
  <c r="G19" i="19"/>
  <c r="F19" i="19"/>
  <c r="G26" i="19"/>
  <c r="F26" i="19"/>
  <c r="H29" i="19"/>
  <c r="H28" i="19"/>
  <c r="H27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D30" i="19"/>
  <c r="C30" i="19"/>
  <c r="D26" i="19"/>
  <c r="C26" i="19"/>
  <c r="D19" i="19"/>
  <c r="E19" i="19" s="1"/>
  <c r="C19" i="19"/>
  <c r="D16" i="19"/>
  <c r="C16" i="19"/>
  <c r="C9" i="19"/>
  <c r="D9" i="19"/>
  <c r="E9" i="19"/>
  <c r="E16" i="19"/>
  <c r="E26" i="19"/>
  <c r="E29" i="19"/>
  <c r="E28" i="19"/>
  <c r="E27" i="19"/>
  <c r="E25" i="19"/>
  <c r="E24" i="19"/>
  <c r="E23" i="19"/>
  <c r="E22" i="19"/>
  <c r="E21" i="19"/>
  <c r="E20" i="19"/>
  <c r="E17" i="19"/>
  <c r="E15" i="19"/>
  <c r="E13" i="19"/>
  <c r="E12" i="19"/>
  <c r="E11" i="19"/>
  <c r="E10" i="19"/>
  <c r="M30" i="24"/>
  <c r="N30" i="24" s="1"/>
  <c r="L30" i="24"/>
  <c r="J30" i="24"/>
  <c r="K30" i="24" s="1"/>
  <c r="P29" i="24"/>
  <c r="Q29" i="24" s="1"/>
  <c r="O29" i="24"/>
  <c r="N29" i="24"/>
  <c r="K29" i="24"/>
  <c r="H29" i="24"/>
  <c r="E29" i="24"/>
  <c r="P28" i="24"/>
  <c r="O28" i="24"/>
  <c r="O26" i="24" s="1"/>
  <c r="N28" i="24"/>
  <c r="K28" i="24"/>
  <c r="H28" i="24"/>
  <c r="E28" i="24"/>
  <c r="Q27" i="24"/>
  <c r="P27" i="24"/>
  <c r="O27" i="24"/>
  <c r="N27" i="24"/>
  <c r="K27" i="24"/>
  <c r="H27" i="24"/>
  <c r="E27" i="24"/>
  <c r="M26" i="24"/>
  <c r="N26" i="24" s="1"/>
  <c r="L26" i="24"/>
  <c r="J26" i="24"/>
  <c r="K26" i="24" s="1"/>
  <c r="I26" i="24"/>
  <c r="H26" i="24"/>
  <c r="G26" i="24"/>
  <c r="F26" i="24"/>
  <c r="D26" i="24"/>
  <c r="E26" i="24" s="1"/>
  <c r="C26" i="24"/>
  <c r="Q25" i="24"/>
  <c r="P25" i="24"/>
  <c r="O25" i="24"/>
  <c r="N25" i="24"/>
  <c r="K25" i="24"/>
  <c r="H25" i="24"/>
  <c r="E25" i="24"/>
  <c r="P24" i="24"/>
  <c r="Q24" i="24" s="1"/>
  <c r="O24" i="24"/>
  <c r="N24" i="24"/>
  <c r="K24" i="24"/>
  <c r="H24" i="24"/>
  <c r="E24" i="24"/>
  <c r="P23" i="24"/>
  <c r="O23" i="24"/>
  <c r="O19" i="24" s="1"/>
  <c r="N23" i="24"/>
  <c r="K23" i="24"/>
  <c r="H23" i="24"/>
  <c r="E23" i="24"/>
  <c r="P22" i="24"/>
  <c r="P19" i="24" s="1"/>
  <c r="Q19" i="24" s="1"/>
  <c r="O22" i="24"/>
  <c r="N22" i="24"/>
  <c r="K22" i="24"/>
  <c r="H22" i="24"/>
  <c r="E22" i="24"/>
  <c r="P21" i="24"/>
  <c r="Q21" i="24" s="1"/>
  <c r="O21" i="24"/>
  <c r="N21" i="24"/>
  <c r="K21" i="24"/>
  <c r="H21" i="24"/>
  <c r="E21" i="24"/>
  <c r="P20" i="24"/>
  <c r="Q20" i="24" s="1"/>
  <c r="O20" i="24"/>
  <c r="N20" i="24"/>
  <c r="K20" i="24"/>
  <c r="H20" i="24"/>
  <c r="E20" i="24"/>
  <c r="M19" i="24"/>
  <c r="N19" i="24" s="1"/>
  <c r="L19" i="24"/>
  <c r="K19" i="24"/>
  <c r="J19" i="24"/>
  <c r="I19" i="24"/>
  <c r="G19" i="24"/>
  <c r="H19" i="24" s="1"/>
  <c r="F19" i="24"/>
  <c r="D19" i="24"/>
  <c r="E19" i="24" s="1"/>
  <c r="C19" i="24"/>
  <c r="P18" i="24"/>
  <c r="Q18" i="24" s="1"/>
  <c r="O18" i="24"/>
  <c r="N18" i="24"/>
  <c r="K18" i="24"/>
  <c r="H18" i="24"/>
  <c r="E18" i="24"/>
  <c r="P17" i="24"/>
  <c r="P16" i="24" s="1"/>
  <c r="O17" i="24"/>
  <c r="O16" i="24" s="1"/>
  <c r="N17" i="24"/>
  <c r="K17" i="24"/>
  <c r="H17" i="24"/>
  <c r="E17" i="24"/>
  <c r="M16" i="24"/>
  <c r="N16" i="24" s="1"/>
  <c r="L16" i="24"/>
  <c r="J16" i="24"/>
  <c r="K16" i="24" s="1"/>
  <c r="I16" i="24"/>
  <c r="G16" i="24"/>
  <c r="G30" i="24" s="1"/>
  <c r="F16" i="24"/>
  <c r="F30" i="24" s="1"/>
  <c r="D16" i="24"/>
  <c r="E16" i="24" s="1"/>
  <c r="C16" i="24"/>
  <c r="P15" i="24"/>
  <c r="Q15" i="24" s="1"/>
  <c r="O15" i="24"/>
  <c r="N15" i="24"/>
  <c r="K15" i="24"/>
  <c r="H15" i="24"/>
  <c r="E15" i="24"/>
  <c r="Q14" i="24"/>
  <c r="P14" i="24"/>
  <c r="O14" i="24"/>
  <c r="N14" i="24"/>
  <c r="K14" i="24"/>
  <c r="H14" i="24"/>
  <c r="E14" i="24"/>
  <c r="P13" i="24"/>
  <c r="Q13" i="24" s="1"/>
  <c r="O13" i="24"/>
  <c r="N13" i="24"/>
  <c r="K13" i="24"/>
  <c r="H13" i="24"/>
  <c r="E13" i="24"/>
  <c r="P12" i="24"/>
  <c r="P9" i="24" s="1"/>
  <c r="O12" i="24"/>
  <c r="O9" i="24" s="1"/>
  <c r="O30" i="24" s="1"/>
  <c r="N12" i="24"/>
  <c r="K12" i="24"/>
  <c r="H12" i="24"/>
  <c r="E12" i="24"/>
  <c r="Q11" i="24"/>
  <c r="P11" i="24"/>
  <c r="O11" i="24"/>
  <c r="N11" i="24"/>
  <c r="K11" i="24"/>
  <c r="H11" i="24"/>
  <c r="E11" i="24"/>
  <c r="P10" i="24"/>
  <c r="Q10" i="24" s="1"/>
  <c r="O10" i="24"/>
  <c r="N10" i="24"/>
  <c r="K10" i="24"/>
  <c r="H10" i="24"/>
  <c r="E10" i="24"/>
  <c r="M9" i="24"/>
  <c r="N9" i="24" s="1"/>
  <c r="L9" i="24"/>
  <c r="J9" i="24"/>
  <c r="K9" i="24" s="1"/>
  <c r="I9" i="24"/>
  <c r="I30" i="24" s="1"/>
  <c r="H9" i="24"/>
  <c r="G9" i="24"/>
  <c r="F9" i="24"/>
  <c r="D9" i="24"/>
  <c r="D30" i="24" s="1"/>
  <c r="C9" i="24"/>
  <c r="C30" i="24" s="1"/>
  <c r="L30" i="23"/>
  <c r="G30" i="23"/>
  <c r="H30" i="23" s="1"/>
  <c r="F30" i="23"/>
  <c r="Q29" i="23"/>
  <c r="P29" i="23"/>
  <c r="O29" i="23"/>
  <c r="N29" i="23"/>
  <c r="K29" i="23"/>
  <c r="H29" i="23"/>
  <c r="E29" i="23"/>
  <c r="P28" i="23"/>
  <c r="Q28" i="23" s="1"/>
  <c r="O28" i="23"/>
  <c r="N28" i="23"/>
  <c r="K28" i="23"/>
  <c r="H28" i="23"/>
  <c r="E28" i="23"/>
  <c r="P27" i="23"/>
  <c r="P26" i="23" s="1"/>
  <c r="O27" i="23"/>
  <c r="O26" i="23" s="1"/>
  <c r="N27" i="23"/>
  <c r="K27" i="23"/>
  <c r="H27" i="23"/>
  <c r="E27" i="23"/>
  <c r="M26" i="23"/>
  <c r="N26" i="23" s="1"/>
  <c r="L26" i="23"/>
  <c r="J26" i="23"/>
  <c r="K26" i="23" s="1"/>
  <c r="I26" i="23"/>
  <c r="G26" i="23"/>
  <c r="H26" i="23" s="1"/>
  <c r="F26" i="23"/>
  <c r="D26" i="23"/>
  <c r="C26" i="23"/>
  <c r="P25" i="23"/>
  <c r="Q25" i="23" s="1"/>
  <c r="O25" i="23"/>
  <c r="N25" i="23"/>
  <c r="K25" i="23"/>
  <c r="H25" i="23"/>
  <c r="E25" i="23"/>
  <c r="P24" i="23"/>
  <c r="Q24" i="23" s="1"/>
  <c r="O24" i="23"/>
  <c r="N24" i="23"/>
  <c r="K24" i="23"/>
  <c r="H24" i="23"/>
  <c r="E24" i="23"/>
  <c r="P23" i="23"/>
  <c r="Q23" i="23" s="1"/>
  <c r="O23" i="23"/>
  <c r="N23" i="23"/>
  <c r="K23" i="23"/>
  <c r="H23" i="23"/>
  <c r="E23" i="23"/>
  <c r="P22" i="23"/>
  <c r="P19" i="23" s="1"/>
  <c r="O22" i="23"/>
  <c r="O19" i="23" s="1"/>
  <c r="N22" i="23"/>
  <c r="K22" i="23"/>
  <c r="H22" i="23"/>
  <c r="E22" i="23"/>
  <c r="P21" i="23"/>
  <c r="Q21" i="23" s="1"/>
  <c r="O21" i="23"/>
  <c r="N21" i="23"/>
  <c r="K21" i="23"/>
  <c r="H21" i="23"/>
  <c r="E21" i="23"/>
  <c r="P20" i="23"/>
  <c r="Q20" i="23" s="1"/>
  <c r="O20" i="23"/>
  <c r="N20" i="23"/>
  <c r="K20" i="23"/>
  <c r="H20" i="23"/>
  <c r="E20" i="23"/>
  <c r="M19" i="23"/>
  <c r="N19" i="23" s="1"/>
  <c r="L19" i="23"/>
  <c r="K19" i="23"/>
  <c r="J19" i="23"/>
  <c r="I19" i="23"/>
  <c r="G19" i="23"/>
  <c r="H19" i="23" s="1"/>
  <c r="F19" i="23"/>
  <c r="D19" i="23"/>
  <c r="E19" i="23" s="1"/>
  <c r="C19" i="23"/>
  <c r="P18" i="23"/>
  <c r="Q18" i="23" s="1"/>
  <c r="O18" i="23"/>
  <c r="N18" i="23"/>
  <c r="K18" i="23"/>
  <c r="H18" i="23"/>
  <c r="E18" i="23"/>
  <c r="P17" i="23"/>
  <c r="P16" i="23" s="1"/>
  <c r="O17" i="23"/>
  <c r="O16" i="23" s="1"/>
  <c r="N17" i="23"/>
  <c r="K17" i="23"/>
  <c r="H17" i="23"/>
  <c r="E17" i="23"/>
  <c r="N16" i="23"/>
  <c r="M16" i="23"/>
  <c r="L16" i="23"/>
  <c r="J16" i="23"/>
  <c r="K16" i="23" s="1"/>
  <c r="I16" i="23"/>
  <c r="G16" i="23"/>
  <c r="H16" i="23" s="1"/>
  <c r="F16" i="23"/>
  <c r="D16" i="23"/>
  <c r="E16" i="23" s="1"/>
  <c r="C16" i="23"/>
  <c r="C30" i="23" s="1"/>
  <c r="P15" i="23"/>
  <c r="Q15" i="23" s="1"/>
  <c r="O15" i="23"/>
  <c r="N15" i="23"/>
  <c r="K15" i="23"/>
  <c r="H15" i="23"/>
  <c r="E15" i="23"/>
  <c r="P14" i="23"/>
  <c r="Q14" i="23" s="1"/>
  <c r="O14" i="23"/>
  <c r="N14" i="23"/>
  <c r="K14" i="23"/>
  <c r="H14" i="23"/>
  <c r="E14" i="23"/>
  <c r="P13" i="23"/>
  <c r="Q13" i="23" s="1"/>
  <c r="O13" i="23"/>
  <c r="N13" i="23"/>
  <c r="K13" i="23"/>
  <c r="H13" i="23"/>
  <c r="E13" i="23"/>
  <c r="P12" i="23"/>
  <c r="O12" i="23"/>
  <c r="O9" i="23" s="1"/>
  <c r="O30" i="23" s="1"/>
  <c r="N12" i="23"/>
  <c r="K12" i="23"/>
  <c r="H12" i="23"/>
  <c r="E12" i="23"/>
  <c r="Q11" i="23"/>
  <c r="P11" i="23"/>
  <c r="O11" i="23"/>
  <c r="N11" i="23"/>
  <c r="K11" i="23"/>
  <c r="H11" i="23"/>
  <c r="E11" i="23"/>
  <c r="P10" i="23"/>
  <c r="Q10" i="23" s="1"/>
  <c r="O10" i="23"/>
  <c r="N10" i="23"/>
  <c r="K10" i="23"/>
  <c r="H10" i="23"/>
  <c r="E10" i="23"/>
  <c r="M9" i="23"/>
  <c r="M30" i="23" s="1"/>
  <c r="L9" i="23"/>
  <c r="J9" i="23"/>
  <c r="J30" i="23" s="1"/>
  <c r="I9" i="23"/>
  <c r="I30" i="23" s="1"/>
  <c r="G9" i="23"/>
  <c r="H9" i="23" s="1"/>
  <c r="F9" i="23"/>
  <c r="E9" i="23"/>
  <c r="D9" i="23"/>
  <c r="C9" i="23"/>
  <c r="P29" i="22"/>
  <c r="Q29" i="22" s="1"/>
  <c r="O29" i="22"/>
  <c r="O26" i="22" s="1"/>
  <c r="N29" i="22"/>
  <c r="K29" i="22"/>
  <c r="H29" i="22"/>
  <c r="E29" i="22"/>
  <c r="P28" i="22"/>
  <c r="Q28" i="22" s="1"/>
  <c r="O28" i="22"/>
  <c r="N28" i="22"/>
  <c r="K28" i="22"/>
  <c r="H28" i="22"/>
  <c r="E28" i="22"/>
  <c r="P27" i="22"/>
  <c r="Q27" i="22" s="1"/>
  <c r="O27" i="22"/>
  <c r="N27" i="22"/>
  <c r="K27" i="22"/>
  <c r="H27" i="22"/>
  <c r="E27" i="22"/>
  <c r="M26" i="22"/>
  <c r="N26" i="22" s="1"/>
  <c r="L26" i="22"/>
  <c r="J26" i="22"/>
  <c r="K26" i="22" s="1"/>
  <c r="I26" i="22"/>
  <c r="G26" i="22"/>
  <c r="F26" i="22"/>
  <c r="H26" i="22" s="1"/>
  <c r="E26" i="22"/>
  <c r="D26" i="22"/>
  <c r="C26" i="22"/>
  <c r="P25" i="22"/>
  <c r="Q25" i="22" s="1"/>
  <c r="O25" i="22"/>
  <c r="N25" i="22"/>
  <c r="K25" i="22"/>
  <c r="H25" i="22"/>
  <c r="E25" i="22"/>
  <c r="P24" i="22"/>
  <c r="Q24" i="22" s="1"/>
  <c r="O24" i="22"/>
  <c r="N24" i="22"/>
  <c r="K24" i="22"/>
  <c r="H24" i="22"/>
  <c r="E24" i="22"/>
  <c r="Q23" i="22"/>
  <c r="P23" i="22"/>
  <c r="O23" i="22"/>
  <c r="N23" i="22"/>
  <c r="K23" i="22"/>
  <c r="H23" i="22"/>
  <c r="E23" i="22"/>
  <c r="Q22" i="22"/>
  <c r="P22" i="22"/>
  <c r="O22" i="22"/>
  <c r="N22" i="22"/>
  <c r="K22" i="22"/>
  <c r="H22" i="22"/>
  <c r="E22" i="22"/>
  <c r="P21" i="22"/>
  <c r="Q21" i="22" s="1"/>
  <c r="O21" i="22"/>
  <c r="O19" i="22" s="1"/>
  <c r="N21" i="22"/>
  <c r="K21" i="22"/>
  <c r="H21" i="22"/>
  <c r="E21" i="22"/>
  <c r="P20" i="22"/>
  <c r="P19" i="22" s="1"/>
  <c r="Q19" i="22" s="1"/>
  <c r="O20" i="22"/>
  <c r="N20" i="22"/>
  <c r="K20" i="22"/>
  <c r="H20" i="22"/>
  <c r="E20" i="22"/>
  <c r="M19" i="22"/>
  <c r="N19" i="22" s="1"/>
  <c r="L19" i="22"/>
  <c r="J19" i="22"/>
  <c r="K19" i="22" s="1"/>
  <c r="I19" i="22"/>
  <c r="G19" i="22"/>
  <c r="H19" i="22" s="1"/>
  <c r="F19" i="22"/>
  <c r="D19" i="22"/>
  <c r="E19" i="22" s="1"/>
  <c r="C19" i="22"/>
  <c r="P18" i="22"/>
  <c r="P16" i="22" s="1"/>
  <c r="Q16" i="22" s="1"/>
  <c r="O18" i="22"/>
  <c r="N18" i="22"/>
  <c r="K18" i="22"/>
  <c r="H18" i="22"/>
  <c r="E18" i="22"/>
  <c r="P17" i="22"/>
  <c r="Q17" i="22" s="1"/>
  <c r="O17" i="22"/>
  <c r="N17" i="22"/>
  <c r="K17" i="22"/>
  <c r="H17" i="22"/>
  <c r="E17" i="22"/>
  <c r="O16" i="22"/>
  <c r="M16" i="22"/>
  <c r="N16" i="22" s="1"/>
  <c r="L16" i="22"/>
  <c r="J16" i="22"/>
  <c r="K16" i="22" s="1"/>
  <c r="I16" i="22"/>
  <c r="H16" i="22"/>
  <c r="G16" i="22"/>
  <c r="F16" i="22"/>
  <c r="D16" i="22"/>
  <c r="E16" i="22" s="1"/>
  <c r="C16" i="22"/>
  <c r="P15" i="22"/>
  <c r="Q15" i="22" s="1"/>
  <c r="O15" i="22"/>
  <c r="N15" i="22"/>
  <c r="K15" i="22"/>
  <c r="H15" i="22"/>
  <c r="E15" i="22"/>
  <c r="P14" i="22"/>
  <c r="Q14" i="22" s="1"/>
  <c r="O14" i="22"/>
  <c r="N14" i="22"/>
  <c r="K14" i="22"/>
  <c r="H14" i="22"/>
  <c r="E14" i="22"/>
  <c r="P13" i="22"/>
  <c r="Q13" i="22" s="1"/>
  <c r="O13" i="22"/>
  <c r="N13" i="22"/>
  <c r="K13" i="22"/>
  <c r="H13" i="22"/>
  <c r="E13" i="22"/>
  <c r="Q12" i="22"/>
  <c r="P12" i="22"/>
  <c r="O12" i="22"/>
  <c r="N12" i="22"/>
  <c r="K12" i="22"/>
  <c r="H12" i="22"/>
  <c r="E12" i="22"/>
  <c r="P11" i="22"/>
  <c r="Q11" i="22" s="1"/>
  <c r="O11" i="22"/>
  <c r="N11" i="22"/>
  <c r="K11" i="22"/>
  <c r="H11" i="22"/>
  <c r="E11" i="22"/>
  <c r="P10" i="22"/>
  <c r="P9" i="22" s="1"/>
  <c r="O10" i="22"/>
  <c r="O9" i="22" s="1"/>
  <c r="N10" i="22"/>
  <c r="K10" i="22"/>
  <c r="H10" i="22"/>
  <c r="E10" i="22"/>
  <c r="N9" i="22"/>
  <c r="M9" i="22"/>
  <c r="L9" i="22"/>
  <c r="L30" i="22" s="1"/>
  <c r="J9" i="22"/>
  <c r="J30" i="22" s="1"/>
  <c r="I9" i="22"/>
  <c r="I30" i="22" s="1"/>
  <c r="G9" i="22"/>
  <c r="H9" i="22" s="1"/>
  <c r="F9" i="22"/>
  <c r="F30" i="22" s="1"/>
  <c r="D9" i="22"/>
  <c r="E9" i="22" s="1"/>
  <c r="C9" i="22"/>
  <c r="C30" i="22" s="1"/>
  <c r="P29" i="21"/>
  <c r="Q29" i="21" s="1"/>
  <c r="O29" i="21"/>
  <c r="N29" i="21"/>
  <c r="K29" i="21"/>
  <c r="H29" i="21"/>
  <c r="E29" i="21"/>
  <c r="P28" i="21"/>
  <c r="Q28" i="21" s="1"/>
  <c r="O28" i="21"/>
  <c r="O26" i="21" s="1"/>
  <c r="N28" i="21"/>
  <c r="K28" i="21"/>
  <c r="H28" i="21"/>
  <c r="E28" i="21"/>
  <c r="P27" i="21"/>
  <c r="Q27" i="21" s="1"/>
  <c r="O27" i="21"/>
  <c r="N27" i="21"/>
  <c r="K27" i="21"/>
  <c r="H27" i="21"/>
  <c r="E27" i="21"/>
  <c r="M26" i="21"/>
  <c r="N26" i="21" s="1"/>
  <c r="L26" i="21"/>
  <c r="J26" i="21"/>
  <c r="K26" i="21" s="1"/>
  <c r="I26" i="21"/>
  <c r="G26" i="21"/>
  <c r="H26" i="21" s="1"/>
  <c r="F26" i="21"/>
  <c r="D26" i="21"/>
  <c r="E26" i="21" s="1"/>
  <c r="C26" i="21"/>
  <c r="P25" i="21"/>
  <c r="Q25" i="21" s="1"/>
  <c r="O25" i="21"/>
  <c r="N25" i="21"/>
  <c r="K25" i="21"/>
  <c r="H25" i="21"/>
  <c r="E25" i="21"/>
  <c r="P24" i="21"/>
  <c r="Q24" i="21" s="1"/>
  <c r="O24" i="21"/>
  <c r="N24" i="21"/>
  <c r="K24" i="21"/>
  <c r="H24" i="21"/>
  <c r="E24" i="21"/>
  <c r="P23" i="21"/>
  <c r="Q23" i="21" s="1"/>
  <c r="O23" i="21"/>
  <c r="N23" i="21"/>
  <c r="K23" i="21"/>
  <c r="H23" i="21"/>
  <c r="E23" i="21"/>
  <c r="P22" i="21"/>
  <c r="Q22" i="21" s="1"/>
  <c r="O22" i="21"/>
  <c r="N22" i="21"/>
  <c r="K22" i="21"/>
  <c r="H22" i="21"/>
  <c r="E22" i="21"/>
  <c r="P21" i="21"/>
  <c r="Q21" i="21" s="1"/>
  <c r="O21" i="21"/>
  <c r="N21" i="21"/>
  <c r="K21" i="21"/>
  <c r="H21" i="21"/>
  <c r="E21" i="21"/>
  <c r="P20" i="21"/>
  <c r="P19" i="21" s="1"/>
  <c r="O20" i="21"/>
  <c r="O19" i="21" s="1"/>
  <c r="N20" i="21"/>
  <c r="K20" i="21"/>
  <c r="H20" i="21"/>
  <c r="E20" i="21"/>
  <c r="N19" i="21"/>
  <c r="M19" i="21"/>
  <c r="L19" i="21"/>
  <c r="J19" i="21"/>
  <c r="K19" i="21" s="1"/>
  <c r="I19" i="21"/>
  <c r="G19" i="21"/>
  <c r="H19" i="21" s="1"/>
  <c r="F19" i="21"/>
  <c r="D19" i="21"/>
  <c r="E19" i="21" s="1"/>
  <c r="C19" i="21"/>
  <c r="P18" i="21"/>
  <c r="Q18" i="21" s="1"/>
  <c r="O18" i="21"/>
  <c r="O16" i="21" s="1"/>
  <c r="N18" i="21"/>
  <c r="K18" i="21"/>
  <c r="H18" i="21"/>
  <c r="E18" i="21"/>
  <c r="P17" i="21"/>
  <c r="O17" i="21"/>
  <c r="Q17" i="21" s="1"/>
  <c r="N17" i="21"/>
  <c r="K17" i="21"/>
  <c r="H17" i="21"/>
  <c r="E17" i="21"/>
  <c r="M16" i="21"/>
  <c r="N16" i="21" s="1"/>
  <c r="L16" i="21"/>
  <c r="J16" i="21"/>
  <c r="J30" i="21" s="1"/>
  <c r="K30" i="21" s="1"/>
  <c r="I16" i="21"/>
  <c r="I30" i="21" s="1"/>
  <c r="G16" i="21"/>
  <c r="H16" i="21" s="1"/>
  <c r="F16" i="21"/>
  <c r="D16" i="21"/>
  <c r="E16" i="21" s="1"/>
  <c r="C16" i="21"/>
  <c r="P15" i="21"/>
  <c r="O15" i="21"/>
  <c r="Q15" i="21" s="1"/>
  <c r="N15" i="21"/>
  <c r="K15" i="21"/>
  <c r="H15" i="21"/>
  <c r="E15" i="21"/>
  <c r="P14" i="21"/>
  <c r="Q14" i="21" s="1"/>
  <c r="O14" i="21"/>
  <c r="N14" i="21"/>
  <c r="K14" i="21"/>
  <c r="H14" i="21"/>
  <c r="E14" i="21"/>
  <c r="P13" i="21"/>
  <c r="Q13" i="21" s="1"/>
  <c r="O13" i="21"/>
  <c r="N13" i="21"/>
  <c r="K13" i="21"/>
  <c r="H13" i="21"/>
  <c r="E13" i="21"/>
  <c r="P12" i="21"/>
  <c r="Q12" i="21" s="1"/>
  <c r="O12" i="21"/>
  <c r="N12" i="21"/>
  <c r="K12" i="21"/>
  <c r="H12" i="21"/>
  <c r="E12" i="21"/>
  <c r="P11" i="21"/>
  <c r="Q11" i="21" s="1"/>
  <c r="O11" i="21"/>
  <c r="N11" i="21"/>
  <c r="K11" i="21"/>
  <c r="H11" i="21"/>
  <c r="E11" i="21"/>
  <c r="P10" i="21"/>
  <c r="P9" i="21" s="1"/>
  <c r="O10" i="21"/>
  <c r="O9" i="21" s="1"/>
  <c r="N10" i="21"/>
  <c r="K10" i="21"/>
  <c r="H10" i="21"/>
  <c r="E10" i="21"/>
  <c r="M9" i="21"/>
  <c r="M30" i="21" s="1"/>
  <c r="N30" i="21" s="1"/>
  <c r="L9" i="21"/>
  <c r="L30" i="21" s="1"/>
  <c r="J9" i="21"/>
  <c r="K9" i="21" s="1"/>
  <c r="I9" i="21"/>
  <c r="G9" i="21"/>
  <c r="G30" i="21" s="1"/>
  <c r="F9" i="21"/>
  <c r="F30" i="21" s="1"/>
  <c r="D9" i="21"/>
  <c r="D30" i="21" s="1"/>
  <c r="C9" i="21"/>
  <c r="C30" i="21" s="1"/>
  <c r="L30" i="20"/>
  <c r="J30" i="20"/>
  <c r="P29" i="20"/>
  <c r="Q29" i="20" s="1"/>
  <c r="O29" i="20"/>
  <c r="N29" i="20"/>
  <c r="K29" i="20"/>
  <c r="H29" i="20"/>
  <c r="E29" i="20"/>
  <c r="P28" i="20"/>
  <c r="Q28" i="20" s="1"/>
  <c r="O28" i="20"/>
  <c r="N28" i="20"/>
  <c r="K28" i="20"/>
  <c r="H28" i="20"/>
  <c r="E28" i="20"/>
  <c r="Q27" i="20"/>
  <c r="P27" i="20"/>
  <c r="P26" i="20" s="1"/>
  <c r="O27" i="20"/>
  <c r="O26" i="20" s="1"/>
  <c r="N27" i="20"/>
  <c r="K27" i="20"/>
  <c r="H27" i="20"/>
  <c r="E27" i="20"/>
  <c r="M26" i="20"/>
  <c r="N26" i="20" s="1"/>
  <c r="L26" i="20"/>
  <c r="J26" i="20"/>
  <c r="K26" i="20" s="1"/>
  <c r="I26" i="20"/>
  <c r="G26" i="20"/>
  <c r="H26" i="20" s="1"/>
  <c r="F26" i="20"/>
  <c r="D26" i="20"/>
  <c r="E26" i="20" s="1"/>
  <c r="C26" i="20"/>
  <c r="Q25" i="20"/>
  <c r="P25" i="20"/>
  <c r="O25" i="20"/>
  <c r="N25" i="20"/>
  <c r="K25" i="20"/>
  <c r="H25" i="20"/>
  <c r="E25" i="20"/>
  <c r="Q24" i="20"/>
  <c r="P24" i="20"/>
  <c r="O24" i="20"/>
  <c r="N24" i="20"/>
  <c r="K24" i="20"/>
  <c r="H24" i="20"/>
  <c r="E24" i="20"/>
  <c r="P23" i="20"/>
  <c r="Q23" i="20" s="1"/>
  <c r="O23" i="20"/>
  <c r="N23" i="20"/>
  <c r="K23" i="20"/>
  <c r="H23" i="20"/>
  <c r="E23" i="20"/>
  <c r="P22" i="20"/>
  <c r="Q22" i="20" s="1"/>
  <c r="O22" i="20"/>
  <c r="N22" i="20"/>
  <c r="K22" i="20"/>
  <c r="H22" i="20"/>
  <c r="E22" i="20"/>
  <c r="P21" i="20"/>
  <c r="Q21" i="20" s="1"/>
  <c r="O21" i="20"/>
  <c r="N21" i="20"/>
  <c r="K21" i="20"/>
  <c r="H21" i="20"/>
  <c r="E21" i="20"/>
  <c r="P20" i="20"/>
  <c r="Q20" i="20" s="1"/>
  <c r="O20" i="20"/>
  <c r="N20" i="20"/>
  <c r="K20" i="20"/>
  <c r="H20" i="20"/>
  <c r="E20" i="20"/>
  <c r="O19" i="20"/>
  <c r="M19" i="20"/>
  <c r="N19" i="20" s="1"/>
  <c r="L19" i="20"/>
  <c r="J19" i="20"/>
  <c r="K19" i="20" s="1"/>
  <c r="I19" i="20"/>
  <c r="H19" i="20"/>
  <c r="G19" i="20"/>
  <c r="F19" i="20"/>
  <c r="D19" i="20"/>
  <c r="E19" i="20" s="1"/>
  <c r="C19" i="20"/>
  <c r="P18" i="20"/>
  <c r="Q18" i="20" s="1"/>
  <c r="O18" i="20"/>
  <c r="N18" i="20"/>
  <c r="K18" i="20"/>
  <c r="H18" i="20"/>
  <c r="E18" i="20"/>
  <c r="P17" i="20"/>
  <c r="Q17" i="20" s="1"/>
  <c r="O17" i="20"/>
  <c r="O16" i="20" s="1"/>
  <c r="N17" i="20"/>
  <c r="K17" i="20"/>
  <c r="H17" i="20"/>
  <c r="E17" i="20"/>
  <c r="M16" i="20"/>
  <c r="N16" i="20" s="1"/>
  <c r="L16" i="20"/>
  <c r="J16" i="20"/>
  <c r="K16" i="20" s="1"/>
  <c r="I16" i="20"/>
  <c r="G16" i="20"/>
  <c r="H16" i="20" s="1"/>
  <c r="F16" i="20"/>
  <c r="F30" i="20" s="1"/>
  <c r="D16" i="20"/>
  <c r="E16" i="20" s="1"/>
  <c r="C16" i="20"/>
  <c r="P15" i="20"/>
  <c r="Q15" i="20" s="1"/>
  <c r="O15" i="20"/>
  <c r="N15" i="20"/>
  <c r="K15" i="20"/>
  <c r="H15" i="20"/>
  <c r="E15" i="20"/>
  <c r="Q14" i="20"/>
  <c r="P14" i="20"/>
  <c r="O14" i="20"/>
  <c r="N14" i="20"/>
  <c r="K14" i="20"/>
  <c r="H14" i="20"/>
  <c r="E14" i="20"/>
  <c r="P13" i="20"/>
  <c r="Q13" i="20" s="1"/>
  <c r="O13" i="20"/>
  <c r="N13" i="20"/>
  <c r="K13" i="20"/>
  <c r="H13" i="20"/>
  <c r="E13" i="20"/>
  <c r="P12" i="20"/>
  <c r="P9" i="20" s="1"/>
  <c r="O12" i="20"/>
  <c r="O9" i="20" s="1"/>
  <c r="O30" i="20" s="1"/>
  <c r="N12" i="20"/>
  <c r="K12" i="20"/>
  <c r="H12" i="20"/>
  <c r="E12" i="20"/>
  <c r="P11" i="20"/>
  <c r="Q11" i="20" s="1"/>
  <c r="O11" i="20"/>
  <c r="N11" i="20"/>
  <c r="K11" i="20"/>
  <c r="H11" i="20"/>
  <c r="E11" i="20"/>
  <c r="P10" i="20"/>
  <c r="Q10" i="20" s="1"/>
  <c r="O10" i="20"/>
  <c r="N10" i="20"/>
  <c r="K10" i="20"/>
  <c r="H10" i="20"/>
  <c r="E10" i="20"/>
  <c r="M9" i="20"/>
  <c r="M30" i="20" s="1"/>
  <c r="N30" i="20" s="1"/>
  <c r="L9" i="20"/>
  <c r="K9" i="20"/>
  <c r="J9" i="20"/>
  <c r="I9" i="20"/>
  <c r="I30" i="20" s="1"/>
  <c r="H9" i="20"/>
  <c r="G9" i="20"/>
  <c r="F9" i="20"/>
  <c r="D9" i="20"/>
  <c r="D30" i="20" s="1"/>
  <c r="C9" i="20"/>
  <c r="C30" i="20" s="1"/>
  <c r="M26" i="19"/>
  <c r="L26" i="19"/>
  <c r="H26" i="19"/>
  <c r="P20" i="19"/>
  <c r="O20" i="19"/>
  <c r="M19" i="19"/>
  <c r="L19" i="19"/>
  <c r="E18" i="19"/>
  <c r="M16" i="19"/>
  <c r="L16" i="19"/>
  <c r="E14" i="19"/>
  <c r="M9" i="19"/>
  <c r="L9" i="19"/>
  <c r="L30" i="19" s="1"/>
  <c r="M30" i="18"/>
  <c r="N30" i="18" s="1"/>
  <c r="P29" i="18"/>
  <c r="Q29" i="18" s="1"/>
  <c r="O29" i="18"/>
  <c r="N29" i="18"/>
  <c r="K29" i="18"/>
  <c r="H29" i="18"/>
  <c r="E29" i="18"/>
  <c r="P28" i="18"/>
  <c r="P26" i="18" s="1"/>
  <c r="O28" i="18"/>
  <c r="O26" i="18" s="1"/>
  <c r="N28" i="18"/>
  <c r="K28" i="18"/>
  <c r="H28" i="18"/>
  <c r="E28" i="18"/>
  <c r="P27" i="18"/>
  <c r="Q27" i="18" s="1"/>
  <c r="O27" i="18"/>
  <c r="N27" i="18"/>
  <c r="K27" i="18"/>
  <c r="H27" i="18"/>
  <c r="E27" i="18"/>
  <c r="M26" i="18"/>
  <c r="N26" i="18" s="1"/>
  <c r="L26" i="18"/>
  <c r="J26" i="18"/>
  <c r="K26" i="18" s="1"/>
  <c r="I26" i="18"/>
  <c r="G26" i="18"/>
  <c r="H26" i="18" s="1"/>
  <c r="F26" i="18"/>
  <c r="E26" i="18"/>
  <c r="D26" i="18"/>
  <c r="C26" i="18"/>
  <c r="P25" i="18"/>
  <c r="Q25" i="18" s="1"/>
  <c r="O25" i="18"/>
  <c r="N25" i="18"/>
  <c r="K25" i="18"/>
  <c r="H25" i="18"/>
  <c r="E25" i="18"/>
  <c r="P24" i="18"/>
  <c r="Q24" i="18" s="1"/>
  <c r="O24" i="18"/>
  <c r="N24" i="18"/>
  <c r="K24" i="18"/>
  <c r="H24" i="18"/>
  <c r="E24" i="18"/>
  <c r="P23" i="18"/>
  <c r="Q23" i="18" s="1"/>
  <c r="O23" i="18"/>
  <c r="N23" i="18"/>
  <c r="K23" i="18"/>
  <c r="H23" i="18"/>
  <c r="E23" i="18"/>
  <c r="P22" i="18"/>
  <c r="Q22" i="18" s="1"/>
  <c r="O22" i="18"/>
  <c r="N22" i="18"/>
  <c r="K22" i="18"/>
  <c r="H22" i="18"/>
  <c r="E22" i="18"/>
  <c r="P21" i="18"/>
  <c r="Q21" i="18" s="1"/>
  <c r="O21" i="18"/>
  <c r="N21" i="18"/>
  <c r="K21" i="18"/>
  <c r="H21" i="18"/>
  <c r="E21" i="18"/>
  <c r="P20" i="18"/>
  <c r="P19" i="18" s="1"/>
  <c r="O20" i="18"/>
  <c r="O19" i="18" s="1"/>
  <c r="N20" i="18"/>
  <c r="K20" i="18"/>
  <c r="H20" i="18"/>
  <c r="E20" i="18"/>
  <c r="M19" i="18"/>
  <c r="N19" i="18" s="1"/>
  <c r="L19" i="18"/>
  <c r="J19" i="18"/>
  <c r="K19" i="18" s="1"/>
  <c r="I19" i="18"/>
  <c r="G19" i="18"/>
  <c r="H19" i="18" s="1"/>
  <c r="F19" i="18"/>
  <c r="D19" i="18"/>
  <c r="E19" i="18" s="1"/>
  <c r="C19" i="18"/>
  <c r="P18" i="18"/>
  <c r="P16" i="18" s="1"/>
  <c r="O18" i="18"/>
  <c r="O16" i="18" s="1"/>
  <c r="N18" i="18"/>
  <c r="K18" i="18"/>
  <c r="H18" i="18"/>
  <c r="E18" i="18"/>
  <c r="P17" i="18"/>
  <c r="Q17" i="18" s="1"/>
  <c r="O17" i="18"/>
  <c r="N17" i="18"/>
  <c r="K17" i="18"/>
  <c r="H17" i="18"/>
  <c r="E17" i="18"/>
  <c r="M16" i="18"/>
  <c r="N16" i="18" s="1"/>
  <c r="L16" i="18"/>
  <c r="J16" i="18"/>
  <c r="K16" i="18" s="1"/>
  <c r="I16" i="18"/>
  <c r="G16" i="18"/>
  <c r="H16" i="18" s="1"/>
  <c r="F16" i="18"/>
  <c r="D16" i="18"/>
  <c r="E16" i="18" s="1"/>
  <c r="C16" i="18"/>
  <c r="P15" i="18"/>
  <c r="Q15" i="18" s="1"/>
  <c r="O15" i="18"/>
  <c r="N15" i="18"/>
  <c r="K15" i="18"/>
  <c r="H15" i="18"/>
  <c r="E15" i="18"/>
  <c r="P14" i="18"/>
  <c r="Q14" i="18" s="1"/>
  <c r="O14" i="18"/>
  <c r="N14" i="18"/>
  <c r="K14" i="18"/>
  <c r="H14" i="18"/>
  <c r="E14" i="18"/>
  <c r="P13" i="18"/>
  <c r="Q13" i="18" s="1"/>
  <c r="O13" i="18"/>
  <c r="N13" i="18"/>
  <c r="K13" i="18"/>
  <c r="H13" i="18"/>
  <c r="E13" i="18"/>
  <c r="Q12" i="18"/>
  <c r="P12" i="18"/>
  <c r="O12" i="18"/>
  <c r="N12" i="18"/>
  <c r="K12" i="18"/>
  <c r="H12" i="18"/>
  <c r="E12" i="18"/>
  <c r="P11" i="18"/>
  <c r="Q11" i="18" s="1"/>
  <c r="O11" i="18"/>
  <c r="N11" i="18"/>
  <c r="K11" i="18"/>
  <c r="H11" i="18"/>
  <c r="E11" i="18"/>
  <c r="P10" i="18"/>
  <c r="Q10" i="18" s="1"/>
  <c r="O10" i="18"/>
  <c r="O9" i="18" s="1"/>
  <c r="N10" i="18"/>
  <c r="K10" i="18"/>
  <c r="H10" i="18"/>
  <c r="E10" i="18"/>
  <c r="P9" i="18"/>
  <c r="P30" i="18" s="1"/>
  <c r="M9" i="18"/>
  <c r="N9" i="18" s="1"/>
  <c r="L9" i="18"/>
  <c r="L30" i="18" s="1"/>
  <c r="J9" i="18"/>
  <c r="J30" i="18" s="1"/>
  <c r="I9" i="18"/>
  <c r="I30" i="18" s="1"/>
  <c r="G9" i="18"/>
  <c r="G30" i="18" s="1"/>
  <c r="F9" i="18"/>
  <c r="F30" i="18" s="1"/>
  <c r="D9" i="18"/>
  <c r="D30" i="18" s="1"/>
  <c r="E30" i="18" s="1"/>
  <c r="C9" i="18"/>
  <c r="C30" i="18" s="1"/>
  <c r="J30" i="17"/>
  <c r="K30" i="17" s="1"/>
  <c r="I30" i="17"/>
  <c r="P29" i="17"/>
  <c r="Q29" i="17" s="1"/>
  <c r="O29" i="17"/>
  <c r="N29" i="17"/>
  <c r="K29" i="17"/>
  <c r="H29" i="17"/>
  <c r="E29" i="17"/>
  <c r="P28" i="17"/>
  <c r="Q28" i="17" s="1"/>
  <c r="O28" i="17"/>
  <c r="O26" i="17" s="1"/>
  <c r="N28" i="17"/>
  <c r="K28" i="17"/>
  <c r="H28" i="17"/>
  <c r="E28" i="17"/>
  <c r="P27" i="17"/>
  <c r="P26" i="17" s="1"/>
  <c r="Q26" i="17" s="1"/>
  <c r="O27" i="17"/>
  <c r="N27" i="17"/>
  <c r="K27" i="17"/>
  <c r="H27" i="17"/>
  <c r="E27" i="17"/>
  <c r="M26" i="17"/>
  <c r="N26" i="17" s="1"/>
  <c r="L26" i="17"/>
  <c r="J26" i="17"/>
  <c r="K26" i="17" s="1"/>
  <c r="I26" i="17"/>
  <c r="G26" i="17"/>
  <c r="H26" i="17" s="1"/>
  <c r="F26" i="17"/>
  <c r="D26" i="17"/>
  <c r="E26" i="17" s="1"/>
  <c r="C26" i="17"/>
  <c r="P25" i="17"/>
  <c r="Q25" i="17" s="1"/>
  <c r="O25" i="17"/>
  <c r="N25" i="17"/>
  <c r="K25" i="17"/>
  <c r="H25" i="17"/>
  <c r="E25" i="17"/>
  <c r="P24" i="17"/>
  <c r="Q24" i="17" s="1"/>
  <c r="O24" i="17"/>
  <c r="N24" i="17"/>
  <c r="K24" i="17"/>
  <c r="H24" i="17"/>
  <c r="E24" i="17"/>
  <c r="P23" i="17"/>
  <c r="Q23" i="17" s="1"/>
  <c r="O23" i="17"/>
  <c r="N23" i="17"/>
  <c r="K23" i="17"/>
  <c r="H23" i="17"/>
  <c r="E23" i="17"/>
  <c r="P22" i="17"/>
  <c r="Q22" i="17" s="1"/>
  <c r="O22" i="17"/>
  <c r="O19" i="17" s="1"/>
  <c r="N22" i="17"/>
  <c r="K22" i="17"/>
  <c r="H22" i="17"/>
  <c r="E22" i="17"/>
  <c r="P21" i="17"/>
  <c r="Q21" i="17" s="1"/>
  <c r="O21" i="17"/>
  <c r="N21" i="17"/>
  <c r="K21" i="17"/>
  <c r="H21" i="17"/>
  <c r="E21" i="17"/>
  <c r="P20" i="17"/>
  <c r="Q20" i="17" s="1"/>
  <c r="O20" i="17"/>
  <c r="N20" i="17"/>
  <c r="K20" i="17"/>
  <c r="H20" i="17"/>
  <c r="E20" i="17"/>
  <c r="N19" i="17"/>
  <c r="M19" i="17"/>
  <c r="L19" i="17"/>
  <c r="J19" i="17"/>
  <c r="K19" i="17" s="1"/>
  <c r="I19" i="17"/>
  <c r="G19" i="17"/>
  <c r="H19" i="17" s="1"/>
  <c r="F19" i="17"/>
  <c r="D19" i="17"/>
  <c r="E19" i="17" s="1"/>
  <c r="C19" i="17"/>
  <c r="P18" i="17"/>
  <c r="Q18" i="17" s="1"/>
  <c r="O18" i="17"/>
  <c r="N18" i="17"/>
  <c r="K18" i="17"/>
  <c r="H18" i="17"/>
  <c r="E18" i="17"/>
  <c r="P17" i="17"/>
  <c r="P16" i="17" s="1"/>
  <c r="O17" i="17"/>
  <c r="O16" i="17" s="1"/>
  <c r="N17" i="17"/>
  <c r="K17" i="17"/>
  <c r="H17" i="17"/>
  <c r="E17" i="17"/>
  <c r="M16" i="17"/>
  <c r="N16" i="17" s="1"/>
  <c r="L16" i="17"/>
  <c r="J16" i="17"/>
  <c r="K16" i="17" s="1"/>
  <c r="I16" i="17"/>
  <c r="G16" i="17"/>
  <c r="H16" i="17" s="1"/>
  <c r="F16" i="17"/>
  <c r="D16" i="17"/>
  <c r="E16" i="17" s="1"/>
  <c r="C16" i="17"/>
  <c r="P15" i="17"/>
  <c r="Q15" i="17" s="1"/>
  <c r="O15" i="17"/>
  <c r="N15" i="17"/>
  <c r="K15" i="17"/>
  <c r="H15" i="17"/>
  <c r="E15" i="17"/>
  <c r="P14" i="17"/>
  <c r="Q14" i="17" s="1"/>
  <c r="O14" i="17"/>
  <c r="N14" i="17"/>
  <c r="K14" i="17"/>
  <c r="H14" i="17"/>
  <c r="E14" i="17"/>
  <c r="P13" i="17"/>
  <c r="Q13" i="17" s="1"/>
  <c r="O13" i="17"/>
  <c r="N13" i="17"/>
  <c r="K13" i="17"/>
  <c r="H13" i="17"/>
  <c r="E13" i="17"/>
  <c r="P12" i="17"/>
  <c r="Q12" i="17" s="1"/>
  <c r="O12" i="17"/>
  <c r="O9" i="17" s="1"/>
  <c r="N12" i="17"/>
  <c r="K12" i="17"/>
  <c r="H12" i="17"/>
  <c r="E12" i="17"/>
  <c r="P11" i="17"/>
  <c r="Q11" i="17" s="1"/>
  <c r="O11" i="17"/>
  <c r="N11" i="17"/>
  <c r="K11" i="17"/>
  <c r="H11" i="17"/>
  <c r="E11" i="17"/>
  <c r="P10" i="17"/>
  <c r="Q10" i="17" s="1"/>
  <c r="O10" i="17"/>
  <c r="N10" i="17"/>
  <c r="K10" i="17"/>
  <c r="H10" i="17"/>
  <c r="E10" i="17"/>
  <c r="M9" i="17"/>
  <c r="M30" i="17" s="1"/>
  <c r="L9" i="17"/>
  <c r="L30" i="17" s="1"/>
  <c r="J9" i="17"/>
  <c r="K9" i="17" s="1"/>
  <c r="I9" i="17"/>
  <c r="G9" i="17"/>
  <c r="H9" i="17" s="1"/>
  <c r="F9" i="17"/>
  <c r="F30" i="17" s="1"/>
  <c r="D9" i="17"/>
  <c r="D30" i="17" s="1"/>
  <c r="C9" i="17"/>
  <c r="C30" i="17" s="1"/>
  <c r="L30" i="16"/>
  <c r="J30" i="16"/>
  <c r="P29" i="16"/>
  <c r="Q29" i="16" s="1"/>
  <c r="O29" i="16"/>
  <c r="N29" i="16"/>
  <c r="K29" i="16"/>
  <c r="H29" i="16"/>
  <c r="E29" i="16"/>
  <c r="P28" i="16"/>
  <c r="Q28" i="16" s="1"/>
  <c r="O28" i="16"/>
  <c r="O26" i="16" s="1"/>
  <c r="N28" i="16"/>
  <c r="K28" i="16"/>
  <c r="H28" i="16"/>
  <c r="E28" i="16"/>
  <c r="Q27" i="16"/>
  <c r="P27" i="16"/>
  <c r="O27" i="16"/>
  <c r="N27" i="16"/>
  <c r="K27" i="16"/>
  <c r="H27" i="16"/>
  <c r="E27" i="16"/>
  <c r="M26" i="16"/>
  <c r="N26" i="16" s="1"/>
  <c r="L26" i="16"/>
  <c r="J26" i="16"/>
  <c r="K26" i="16" s="1"/>
  <c r="I26" i="16"/>
  <c r="G26" i="16"/>
  <c r="H26" i="16" s="1"/>
  <c r="F26" i="16"/>
  <c r="D26" i="16"/>
  <c r="E26" i="16" s="1"/>
  <c r="C26" i="16"/>
  <c r="Q25" i="16"/>
  <c r="P25" i="16"/>
  <c r="O25" i="16"/>
  <c r="N25" i="16"/>
  <c r="K25" i="16"/>
  <c r="H25" i="16"/>
  <c r="E25" i="16"/>
  <c r="P24" i="16"/>
  <c r="Q24" i="16" s="1"/>
  <c r="O24" i="16"/>
  <c r="N24" i="16"/>
  <c r="K24" i="16"/>
  <c r="H24" i="16"/>
  <c r="E24" i="16"/>
  <c r="Q23" i="16"/>
  <c r="P23" i="16"/>
  <c r="O23" i="16"/>
  <c r="N23" i="16"/>
  <c r="K23" i="16"/>
  <c r="H23" i="16"/>
  <c r="E23" i="16"/>
  <c r="P22" i="16"/>
  <c r="P19" i="16" s="1"/>
  <c r="Q19" i="16" s="1"/>
  <c r="O22" i="16"/>
  <c r="N22" i="16"/>
  <c r="K22" i="16"/>
  <c r="H22" i="16"/>
  <c r="E22" i="16"/>
  <c r="P21" i="16"/>
  <c r="Q21" i="16" s="1"/>
  <c r="O21" i="16"/>
  <c r="N21" i="16"/>
  <c r="K21" i="16"/>
  <c r="H21" i="16"/>
  <c r="E21" i="16"/>
  <c r="P20" i="16"/>
  <c r="Q20" i="16" s="1"/>
  <c r="O20" i="16"/>
  <c r="N20" i="16"/>
  <c r="K20" i="16"/>
  <c r="H20" i="16"/>
  <c r="E20" i="16"/>
  <c r="O19" i="16"/>
  <c r="M19" i="16"/>
  <c r="N19" i="16" s="1"/>
  <c r="L19" i="16"/>
  <c r="J19" i="16"/>
  <c r="K19" i="16" s="1"/>
  <c r="I19" i="16"/>
  <c r="G19" i="16"/>
  <c r="H19" i="16" s="1"/>
  <c r="F19" i="16"/>
  <c r="D19" i="16"/>
  <c r="E19" i="16" s="1"/>
  <c r="C19" i="16"/>
  <c r="P18" i="16"/>
  <c r="Q18" i="16" s="1"/>
  <c r="O18" i="16"/>
  <c r="N18" i="16"/>
  <c r="K18" i="16"/>
  <c r="H18" i="16"/>
  <c r="E18" i="16"/>
  <c r="P17" i="16"/>
  <c r="Q17" i="16" s="1"/>
  <c r="O17" i="16"/>
  <c r="O16" i="16" s="1"/>
  <c r="N17" i="16"/>
  <c r="K17" i="16"/>
  <c r="H17" i="16"/>
  <c r="E17" i="16"/>
  <c r="M16" i="16"/>
  <c r="N16" i="16" s="1"/>
  <c r="L16" i="16"/>
  <c r="J16" i="16"/>
  <c r="K16" i="16" s="1"/>
  <c r="I16" i="16"/>
  <c r="H16" i="16"/>
  <c r="G16" i="16"/>
  <c r="F16" i="16"/>
  <c r="D16" i="16"/>
  <c r="E16" i="16" s="1"/>
  <c r="C16" i="16"/>
  <c r="P15" i="16"/>
  <c r="Q15" i="16" s="1"/>
  <c r="O15" i="16"/>
  <c r="N15" i="16"/>
  <c r="K15" i="16"/>
  <c r="H15" i="16"/>
  <c r="E15" i="16"/>
  <c r="P14" i="16"/>
  <c r="Q14" i="16" s="1"/>
  <c r="O14" i="16"/>
  <c r="N14" i="16"/>
  <c r="K14" i="16"/>
  <c r="H14" i="16"/>
  <c r="E14" i="16"/>
  <c r="P13" i="16"/>
  <c r="Q13" i="16" s="1"/>
  <c r="O13" i="16"/>
  <c r="N13" i="16"/>
  <c r="K13" i="16"/>
  <c r="H13" i="16"/>
  <c r="E13" i="16"/>
  <c r="P12" i="16"/>
  <c r="P9" i="16" s="1"/>
  <c r="O12" i="16"/>
  <c r="O9" i="16" s="1"/>
  <c r="N12" i="16"/>
  <c r="K12" i="16"/>
  <c r="H12" i="16"/>
  <c r="E12" i="16"/>
  <c r="P11" i="16"/>
  <c r="Q11" i="16" s="1"/>
  <c r="O11" i="16"/>
  <c r="N11" i="16"/>
  <c r="K11" i="16"/>
  <c r="H11" i="16"/>
  <c r="E11" i="16"/>
  <c r="P10" i="16"/>
  <c r="Q10" i="16" s="1"/>
  <c r="O10" i="16"/>
  <c r="N10" i="16"/>
  <c r="K10" i="16"/>
  <c r="H10" i="16"/>
  <c r="E10" i="16"/>
  <c r="M9" i="16"/>
  <c r="M30" i="16" s="1"/>
  <c r="N30" i="16" s="1"/>
  <c r="L9" i="16"/>
  <c r="J9" i="16"/>
  <c r="K9" i="16" s="1"/>
  <c r="I9" i="16"/>
  <c r="I30" i="16" s="1"/>
  <c r="G9" i="16"/>
  <c r="G30" i="16" s="1"/>
  <c r="F9" i="16"/>
  <c r="F30" i="16" s="1"/>
  <c r="D9" i="16"/>
  <c r="D30" i="16" s="1"/>
  <c r="C9" i="16"/>
  <c r="C30" i="16" s="1"/>
  <c r="P29" i="15"/>
  <c r="Q29" i="15" s="1"/>
  <c r="O29" i="15"/>
  <c r="O26" i="15" s="1"/>
  <c r="N29" i="15"/>
  <c r="K29" i="15"/>
  <c r="H29" i="15"/>
  <c r="E29" i="15"/>
  <c r="P28" i="15"/>
  <c r="O28" i="15"/>
  <c r="N28" i="15"/>
  <c r="K28" i="15"/>
  <c r="H28" i="15"/>
  <c r="E28" i="15"/>
  <c r="P27" i="15"/>
  <c r="O27" i="15"/>
  <c r="N27" i="15"/>
  <c r="K27" i="15"/>
  <c r="H27" i="15"/>
  <c r="E27" i="15"/>
  <c r="M26" i="15"/>
  <c r="L26" i="15"/>
  <c r="J26" i="15"/>
  <c r="K26" i="15" s="1"/>
  <c r="I26" i="15"/>
  <c r="G26" i="15"/>
  <c r="H26" i="15" s="1"/>
  <c r="F26" i="15"/>
  <c r="D26" i="15"/>
  <c r="E26" i="15" s="1"/>
  <c r="C26" i="15"/>
  <c r="P25" i="15"/>
  <c r="O25" i="15"/>
  <c r="N25" i="15"/>
  <c r="K25" i="15"/>
  <c r="H25" i="15"/>
  <c r="E25" i="15"/>
  <c r="P24" i="15"/>
  <c r="Q24" i="15" s="1"/>
  <c r="O24" i="15"/>
  <c r="N24" i="15"/>
  <c r="K24" i="15"/>
  <c r="H24" i="15"/>
  <c r="E24" i="15"/>
  <c r="P23" i="15"/>
  <c r="Q23" i="15" s="1"/>
  <c r="O23" i="15"/>
  <c r="N23" i="15"/>
  <c r="K23" i="15"/>
  <c r="H23" i="15"/>
  <c r="E23" i="15"/>
  <c r="P22" i="15"/>
  <c r="O22" i="15"/>
  <c r="N22" i="15"/>
  <c r="K22" i="15"/>
  <c r="H22" i="15"/>
  <c r="E22" i="15"/>
  <c r="P21" i="15"/>
  <c r="O21" i="15"/>
  <c r="N21" i="15"/>
  <c r="K21" i="15"/>
  <c r="H21" i="15"/>
  <c r="E21" i="15"/>
  <c r="P20" i="15"/>
  <c r="O20" i="15"/>
  <c r="N20" i="15"/>
  <c r="K20" i="15"/>
  <c r="H20" i="15"/>
  <c r="E20" i="15"/>
  <c r="M19" i="15"/>
  <c r="L19" i="15"/>
  <c r="J19" i="15"/>
  <c r="K19" i="15" s="1"/>
  <c r="I19" i="15"/>
  <c r="H19" i="15"/>
  <c r="G19" i="15"/>
  <c r="F19" i="15"/>
  <c r="D19" i="15"/>
  <c r="D30" i="15" s="1"/>
  <c r="C19" i="15"/>
  <c r="C30" i="15" s="1"/>
  <c r="P18" i="15"/>
  <c r="O18" i="15"/>
  <c r="N18" i="15"/>
  <c r="K18" i="15"/>
  <c r="H18" i="15"/>
  <c r="E18" i="15"/>
  <c r="P17" i="15"/>
  <c r="O17" i="15"/>
  <c r="N17" i="15"/>
  <c r="K17" i="15"/>
  <c r="H17" i="15"/>
  <c r="E17" i="15"/>
  <c r="O16" i="15"/>
  <c r="M16" i="15"/>
  <c r="N16" i="15" s="1"/>
  <c r="L16" i="15"/>
  <c r="J16" i="15"/>
  <c r="K16" i="15" s="1"/>
  <c r="I16" i="15"/>
  <c r="H16" i="15"/>
  <c r="G16" i="15"/>
  <c r="F16" i="15"/>
  <c r="D16" i="15"/>
  <c r="E16" i="15" s="1"/>
  <c r="C16" i="15"/>
  <c r="P15" i="15"/>
  <c r="O15" i="15"/>
  <c r="N15" i="15"/>
  <c r="K15" i="15"/>
  <c r="H15" i="15"/>
  <c r="E15" i="15"/>
  <c r="P14" i="15"/>
  <c r="O14" i="15"/>
  <c r="N14" i="15"/>
  <c r="K14" i="15"/>
  <c r="H14" i="15"/>
  <c r="E14" i="15"/>
  <c r="P13" i="15"/>
  <c r="O13" i="15"/>
  <c r="N13" i="15"/>
  <c r="K13" i="15"/>
  <c r="H13" i="15"/>
  <c r="E13" i="15"/>
  <c r="P12" i="15"/>
  <c r="O12" i="15"/>
  <c r="N12" i="15"/>
  <c r="K12" i="15"/>
  <c r="H12" i="15"/>
  <c r="E12" i="15"/>
  <c r="P11" i="15"/>
  <c r="O11" i="15"/>
  <c r="N11" i="15"/>
  <c r="K11" i="15"/>
  <c r="H11" i="15"/>
  <c r="E11" i="15"/>
  <c r="P10" i="15"/>
  <c r="O10" i="15"/>
  <c r="N10" i="15"/>
  <c r="K10" i="15"/>
  <c r="H10" i="15"/>
  <c r="E10" i="15"/>
  <c r="M9" i="15"/>
  <c r="L9" i="15"/>
  <c r="J9" i="15"/>
  <c r="J30" i="15" s="1"/>
  <c r="I9" i="15"/>
  <c r="I30" i="15" s="1"/>
  <c r="G9" i="15"/>
  <c r="G30" i="15" s="1"/>
  <c r="F9" i="15"/>
  <c r="F30" i="15" s="1"/>
  <c r="D9" i="15"/>
  <c r="E9" i="15" s="1"/>
  <c r="C9" i="15"/>
  <c r="D26" i="14"/>
  <c r="C26" i="14"/>
  <c r="D19" i="14"/>
  <c r="C19" i="14"/>
  <c r="D16" i="14"/>
  <c r="C16" i="14"/>
  <c r="D9" i="14"/>
  <c r="C9" i="14"/>
  <c r="Q25" i="19" l="1"/>
  <c r="Q20" i="19"/>
  <c r="P19" i="19"/>
  <c r="O19" i="19"/>
  <c r="K19" i="19"/>
  <c r="K30" i="19"/>
  <c r="H30" i="19"/>
  <c r="E30" i="19"/>
  <c r="Q9" i="24"/>
  <c r="Q19" i="23"/>
  <c r="K30" i="23"/>
  <c r="K9" i="23"/>
  <c r="E26" i="23"/>
  <c r="Q12" i="24"/>
  <c r="Q16" i="24"/>
  <c r="Q23" i="24"/>
  <c r="Q17" i="24"/>
  <c r="Q27" i="23"/>
  <c r="E30" i="24"/>
  <c r="P9" i="23"/>
  <c r="Q12" i="23"/>
  <c r="N30" i="23"/>
  <c r="Q22" i="23"/>
  <c r="P26" i="24"/>
  <c r="Q26" i="24" s="1"/>
  <c r="Q28" i="24"/>
  <c r="Q16" i="23"/>
  <c r="Q17" i="23"/>
  <c r="Q22" i="24"/>
  <c r="Q26" i="23"/>
  <c r="N9" i="23"/>
  <c r="H30" i="24"/>
  <c r="D30" i="23"/>
  <c r="E30" i="23" s="1"/>
  <c r="H16" i="24"/>
  <c r="E9" i="24"/>
  <c r="E30" i="20"/>
  <c r="O30" i="21"/>
  <c r="Q19" i="21"/>
  <c r="Q9" i="21"/>
  <c r="Q9" i="20"/>
  <c r="Q16" i="19"/>
  <c r="Q26" i="19"/>
  <c r="Q9" i="22"/>
  <c r="H30" i="21"/>
  <c r="K30" i="22"/>
  <c r="O30" i="22"/>
  <c r="K30" i="20"/>
  <c r="E30" i="21"/>
  <c r="Q26" i="20"/>
  <c r="Q18" i="22"/>
  <c r="Q12" i="20"/>
  <c r="D30" i="22"/>
  <c r="E30" i="22" s="1"/>
  <c r="E9" i="21"/>
  <c r="G30" i="22"/>
  <c r="H30" i="22" s="1"/>
  <c r="P16" i="21"/>
  <c r="Q16" i="21" s="1"/>
  <c r="K9" i="22"/>
  <c r="H9" i="21"/>
  <c r="E9" i="20"/>
  <c r="P19" i="20"/>
  <c r="Q19" i="20" s="1"/>
  <c r="Q20" i="22"/>
  <c r="Q20" i="21"/>
  <c r="Q10" i="21"/>
  <c r="K16" i="21"/>
  <c r="P26" i="21"/>
  <c r="Q26" i="21" s="1"/>
  <c r="P16" i="20"/>
  <c r="Q16" i="20" s="1"/>
  <c r="N9" i="20"/>
  <c r="P26" i="22"/>
  <c r="Q26" i="22" s="1"/>
  <c r="M30" i="22"/>
  <c r="N30" i="22" s="1"/>
  <c r="G30" i="20"/>
  <c r="H30" i="20" s="1"/>
  <c r="N9" i="21"/>
  <c r="Q10" i="22"/>
  <c r="K30" i="18"/>
  <c r="O30" i="18"/>
  <c r="Q30" i="18" s="1"/>
  <c r="O30" i="17"/>
  <c r="Q16" i="18"/>
  <c r="N30" i="17"/>
  <c r="H30" i="18"/>
  <c r="Q16" i="17"/>
  <c r="Q19" i="18"/>
  <c r="E30" i="17"/>
  <c r="Q26" i="18"/>
  <c r="Q20" i="18"/>
  <c r="Q27" i="17"/>
  <c r="Q9" i="18"/>
  <c r="P19" i="17"/>
  <c r="Q19" i="17" s="1"/>
  <c r="Q28" i="18"/>
  <c r="E9" i="17"/>
  <c r="N9" i="17"/>
  <c r="Q17" i="17"/>
  <c r="P9" i="17"/>
  <c r="Q18" i="18"/>
  <c r="E9" i="18"/>
  <c r="H9" i="18"/>
  <c r="K9" i="18"/>
  <c r="G30" i="17"/>
  <c r="H30" i="17" s="1"/>
  <c r="E30" i="16"/>
  <c r="O30" i="16"/>
  <c r="H30" i="16"/>
  <c r="Q9" i="16"/>
  <c r="P30" i="16"/>
  <c r="Q30" i="16" s="1"/>
  <c r="K30" i="16"/>
  <c r="Q22" i="16"/>
  <c r="E9" i="16"/>
  <c r="P26" i="16"/>
  <c r="Q26" i="16" s="1"/>
  <c r="P16" i="16"/>
  <c r="Q16" i="16" s="1"/>
  <c r="H9" i="16"/>
  <c r="Q12" i="16"/>
  <c r="N9" i="16"/>
  <c r="Q27" i="15"/>
  <c r="N26" i="15"/>
  <c r="Q28" i="15"/>
  <c r="N19" i="15"/>
  <c r="P19" i="15"/>
  <c r="O19" i="15"/>
  <c r="Q21" i="15"/>
  <c r="Q25" i="15"/>
  <c r="Q22" i="15"/>
  <c r="M30" i="15"/>
  <c r="Q17" i="15"/>
  <c r="P16" i="15"/>
  <c r="Q16" i="15" s="1"/>
  <c r="L30" i="15"/>
  <c r="Q13" i="15"/>
  <c r="O9" i="15"/>
  <c r="O30" i="15" s="1"/>
  <c r="P9" i="15"/>
  <c r="Q14" i="15"/>
  <c r="Q11" i="15"/>
  <c r="Q15" i="15"/>
  <c r="Q12" i="15"/>
  <c r="Q9" i="15"/>
  <c r="E30" i="15"/>
  <c r="H30" i="15"/>
  <c r="K30" i="15"/>
  <c r="Q18" i="15"/>
  <c r="Q10" i="15"/>
  <c r="E19" i="15"/>
  <c r="P26" i="15"/>
  <c r="Q26" i="15" s="1"/>
  <c r="Q20" i="15"/>
  <c r="H9" i="15"/>
  <c r="K9" i="15"/>
  <c r="N9" i="15"/>
  <c r="P29" i="14"/>
  <c r="O29" i="14"/>
  <c r="N29" i="14"/>
  <c r="K29" i="14"/>
  <c r="H29" i="14"/>
  <c r="E29" i="14"/>
  <c r="P28" i="14"/>
  <c r="O28" i="14"/>
  <c r="N28" i="14"/>
  <c r="K28" i="14"/>
  <c r="H28" i="14"/>
  <c r="E28" i="14"/>
  <c r="P27" i="14"/>
  <c r="O27" i="14"/>
  <c r="N27" i="14"/>
  <c r="K27" i="14"/>
  <c r="H27" i="14"/>
  <c r="E27" i="14"/>
  <c r="M26" i="14"/>
  <c r="L26" i="14"/>
  <c r="J26" i="14"/>
  <c r="K26" i="14" s="1"/>
  <c r="I26" i="14"/>
  <c r="G26" i="14"/>
  <c r="H26" i="14" s="1"/>
  <c r="F26" i="14"/>
  <c r="E26" i="14"/>
  <c r="P25" i="14"/>
  <c r="O25" i="14"/>
  <c r="N25" i="14"/>
  <c r="K25" i="14"/>
  <c r="H25" i="14"/>
  <c r="E25" i="14"/>
  <c r="P24" i="14"/>
  <c r="O24" i="14"/>
  <c r="N24" i="14"/>
  <c r="K24" i="14"/>
  <c r="H24" i="14"/>
  <c r="E24" i="14"/>
  <c r="P23" i="14"/>
  <c r="O23" i="14"/>
  <c r="N23" i="14"/>
  <c r="K23" i="14"/>
  <c r="H23" i="14"/>
  <c r="E23" i="14"/>
  <c r="P22" i="14"/>
  <c r="O22" i="14"/>
  <c r="N22" i="14"/>
  <c r="K22" i="14"/>
  <c r="H22" i="14"/>
  <c r="E22" i="14"/>
  <c r="P21" i="14"/>
  <c r="O21" i="14"/>
  <c r="N21" i="14"/>
  <c r="K21" i="14"/>
  <c r="H21" i="14"/>
  <c r="E21" i="14"/>
  <c r="P20" i="14"/>
  <c r="O20" i="14"/>
  <c r="N20" i="14"/>
  <c r="K20" i="14"/>
  <c r="H20" i="14"/>
  <c r="E20" i="14"/>
  <c r="M19" i="14"/>
  <c r="N19" i="14" s="1"/>
  <c r="L19" i="14"/>
  <c r="J19" i="14"/>
  <c r="K19" i="14" s="1"/>
  <c r="I19" i="14"/>
  <c r="G19" i="14"/>
  <c r="H19" i="14" s="1"/>
  <c r="F19" i="14"/>
  <c r="E19" i="14"/>
  <c r="P18" i="14"/>
  <c r="O18" i="14"/>
  <c r="N18" i="14"/>
  <c r="K18" i="14"/>
  <c r="H18" i="14"/>
  <c r="E18" i="14"/>
  <c r="P17" i="14"/>
  <c r="O17" i="14"/>
  <c r="N17" i="14"/>
  <c r="K17" i="14"/>
  <c r="H17" i="14"/>
  <c r="E17" i="14"/>
  <c r="M16" i="14"/>
  <c r="L16" i="14"/>
  <c r="J16" i="14"/>
  <c r="K16" i="14" s="1"/>
  <c r="I16" i="14"/>
  <c r="G16" i="14"/>
  <c r="H16" i="14" s="1"/>
  <c r="F16" i="14"/>
  <c r="E16" i="14"/>
  <c r="P15" i="14"/>
  <c r="O15" i="14"/>
  <c r="N15" i="14"/>
  <c r="K15" i="14"/>
  <c r="H15" i="14"/>
  <c r="E15" i="14"/>
  <c r="P14" i="14"/>
  <c r="O14" i="14"/>
  <c r="N14" i="14"/>
  <c r="K14" i="14"/>
  <c r="H14" i="14"/>
  <c r="E14" i="14"/>
  <c r="P13" i="14"/>
  <c r="O13" i="14"/>
  <c r="N13" i="14"/>
  <c r="K13" i="14"/>
  <c r="H13" i="14"/>
  <c r="E13" i="14"/>
  <c r="P12" i="14"/>
  <c r="O12" i="14"/>
  <c r="N12" i="14"/>
  <c r="K12" i="14"/>
  <c r="H12" i="14"/>
  <c r="E12" i="14"/>
  <c r="P11" i="14"/>
  <c r="O11" i="14"/>
  <c r="N11" i="14"/>
  <c r="K11" i="14"/>
  <c r="H11" i="14"/>
  <c r="E11" i="14"/>
  <c r="P10" i="14"/>
  <c r="O10" i="14"/>
  <c r="N10" i="14"/>
  <c r="K10" i="14"/>
  <c r="H10" i="14"/>
  <c r="E10" i="14"/>
  <c r="M9" i="14"/>
  <c r="L9" i="14"/>
  <c r="J9" i="14"/>
  <c r="J30" i="14" s="1"/>
  <c r="I9" i="14"/>
  <c r="I30" i="14" s="1"/>
  <c r="G9" i="14"/>
  <c r="G30" i="14" s="1"/>
  <c r="F9" i="14"/>
  <c r="F30" i="14" s="1"/>
  <c r="D30" i="14"/>
  <c r="C30" i="14"/>
  <c r="G11" i="6"/>
  <c r="G10" i="6"/>
  <c r="O30" i="19" l="1"/>
  <c r="Q19" i="19"/>
  <c r="P30" i="19"/>
  <c r="Q30" i="19" s="1"/>
  <c r="P30" i="23"/>
  <c r="Q30" i="23" s="1"/>
  <c r="Q9" i="23"/>
  <c r="P30" i="24"/>
  <c r="Q30" i="24" s="1"/>
  <c r="Q9" i="19"/>
  <c r="P30" i="22"/>
  <c r="Q30" i="22" s="1"/>
  <c r="P30" i="20"/>
  <c r="Q30" i="20" s="1"/>
  <c r="P30" i="21"/>
  <c r="Q30" i="21" s="1"/>
  <c r="Q9" i="17"/>
  <c r="P30" i="17"/>
  <c r="Q30" i="17" s="1"/>
  <c r="N30" i="15"/>
  <c r="Q19" i="15"/>
  <c r="P30" i="15"/>
  <c r="Q30" i="15" s="1"/>
  <c r="N26" i="14"/>
  <c r="Q28" i="14"/>
  <c r="L30" i="14"/>
  <c r="N16" i="14"/>
  <c r="N9" i="14"/>
  <c r="Q12" i="14"/>
  <c r="Q27" i="14"/>
  <c r="P19" i="14"/>
  <c r="Q24" i="14"/>
  <c r="Q17" i="14"/>
  <c r="Q21" i="14"/>
  <c r="O16" i="14"/>
  <c r="Q11" i="14"/>
  <c r="O26" i="14"/>
  <c r="Q23" i="14"/>
  <c r="O19" i="14"/>
  <c r="Q13" i="14"/>
  <c r="O9" i="14"/>
  <c r="O30" i="14" s="1"/>
  <c r="P9" i="14"/>
  <c r="Q14" i="14"/>
  <c r="Q25" i="14"/>
  <c r="Q18" i="14"/>
  <c r="Q15" i="14"/>
  <c r="Q22" i="14"/>
  <c r="P26" i="14"/>
  <c r="Q9" i="14"/>
  <c r="H30" i="14"/>
  <c r="K30" i="14"/>
  <c r="E30" i="14"/>
  <c r="Q20" i="14"/>
  <c r="Q10" i="14"/>
  <c r="E9" i="14"/>
  <c r="Q29" i="14"/>
  <c r="P16" i="14"/>
  <c r="Q16" i="14" s="1"/>
  <c r="H9" i="14"/>
  <c r="K9" i="14"/>
  <c r="M30" i="14"/>
  <c r="P21" i="4"/>
  <c r="E30" i="4"/>
  <c r="H30" i="4"/>
  <c r="K30" i="4"/>
  <c r="J9" i="4"/>
  <c r="K9" i="4" s="1"/>
  <c r="I9" i="4"/>
  <c r="K15" i="4"/>
  <c r="K14" i="4"/>
  <c r="K13" i="4"/>
  <c r="K12" i="4"/>
  <c r="K11" i="4"/>
  <c r="K10" i="4"/>
  <c r="H15" i="4"/>
  <c r="H14" i="4"/>
  <c r="H13" i="4"/>
  <c r="H12" i="4"/>
  <c r="H11" i="4"/>
  <c r="H10" i="4"/>
  <c r="G9" i="4"/>
  <c r="F9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Q29" i="4"/>
  <c r="Q28" i="4"/>
  <c r="Q27" i="4"/>
  <c r="Q26" i="4"/>
  <c r="Q22" i="4"/>
  <c r="Q18" i="4"/>
  <c r="Q17" i="4"/>
  <c r="Q16" i="4"/>
  <c r="Q15" i="4"/>
  <c r="Q14" i="4"/>
  <c r="D26" i="4"/>
  <c r="C26" i="4"/>
  <c r="D19" i="4"/>
  <c r="C19" i="4"/>
  <c r="D16" i="4"/>
  <c r="C16" i="4"/>
  <c r="D9" i="4"/>
  <c r="C9" i="4"/>
  <c r="C30" i="4" s="1"/>
  <c r="G26" i="4"/>
  <c r="F26" i="4"/>
  <c r="G19" i="4"/>
  <c r="F19" i="4"/>
  <c r="G16" i="4"/>
  <c r="F16" i="4"/>
  <c r="F30" i="4"/>
  <c r="J26" i="4"/>
  <c r="I26" i="4"/>
  <c r="J19" i="4"/>
  <c r="I19" i="4"/>
  <c r="J16" i="4"/>
  <c r="I16" i="4"/>
  <c r="O10" i="4"/>
  <c r="P10" i="4"/>
  <c r="O11" i="4"/>
  <c r="P11" i="4"/>
  <c r="O12" i="4"/>
  <c r="P12" i="4"/>
  <c r="Q12" i="4" s="1"/>
  <c r="O13" i="4"/>
  <c r="Q13" i="4" s="1"/>
  <c r="P13" i="4"/>
  <c r="O14" i="4"/>
  <c r="P14" i="4"/>
  <c r="O15" i="4"/>
  <c r="P15" i="4"/>
  <c r="O17" i="4"/>
  <c r="P17" i="4"/>
  <c r="O18" i="4"/>
  <c r="P18" i="4"/>
  <c r="O20" i="4"/>
  <c r="P20" i="4"/>
  <c r="O21" i="4"/>
  <c r="O22" i="4"/>
  <c r="P22" i="4"/>
  <c r="O23" i="4"/>
  <c r="P23" i="4"/>
  <c r="O24" i="4"/>
  <c r="P24" i="4"/>
  <c r="O25" i="4"/>
  <c r="P25" i="4"/>
  <c r="Q25" i="4" s="1"/>
  <c r="O27" i="4"/>
  <c r="P27" i="4"/>
  <c r="O28" i="4"/>
  <c r="P28" i="4"/>
  <c r="O29" i="4"/>
  <c r="P29" i="4"/>
  <c r="C15" i="6" a="1"/>
  <c r="C18" i="6" a="1"/>
  <c r="C10" i="6" a="1"/>
  <c r="F10" i="6" a="1"/>
  <c r="C9" i="6" a="1"/>
  <c r="F11" i="6" a="1"/>
  <c r="C18" i="6" l="1"/>
  <c r="C15" i="6"/>
  <c r="Q26" i="14"/>
  <c r="Q19" i="14"/>
  <c r="N30" i="14"/>
  <c r="F11" i="6"/>
  <c r="F10" i="6"/>
  <c r="P30" i="14"/>
  <c r="Q30" i="14" s="1"/>
  <c r="Q20" i="4"/>
  <c r="C10" i="6"/>
  <c r="C9" i="6"/>
  <c r="Q24" i="4"/>
  <c r="Q23" i="4"/>
  <c r="Q21" i="4"/>
  <c r="Q11" i="4"/>
  <c r="H9" i="4"/>
  <c r="Q10" i="4"/>
  <c r="D30" i="4"/>
  <c r="O16" i="4"/>
  <c r="G30" i="4"/>
  <c r="I30" i="4"/>
  <c r="J30" i="4"/>
  <c r="P9" i="4"/>
  <c r="O9" i="4"/>
  <c r="P26" i="4"/>
  <c r="P16" i="4"/>
  <c r="O26" i="4"/>
  <c r="P19" i="4"/>
  <c r="O19" i="4"/>
  <c r="C14" i="6" a="1"/>
  <c r="H18" i="6" a="1"/>
  <c r="H19" i="6" a="1"/>
  <c r="H20" i="6" a="1"/>
  <c r="H21" i="6" a="1"/>
  <c r="H22" i="6" a="1"/>
  <c r="H23" i="6" a="1"/>
  <c r="J10" i="6" a="1"/>
  <c r="J11" i="6" a="1"/>
  <c r="C19" i="6" a="1"/>
  <c r="C20" i="6" a="1"/>
  <c r="C21" i="6" a="1"/>
  <c r="C22" i="6" a="1"/>
  <c r="C23" i="6" a="1"/>
  <c r="H23" i="6" l="1"/>
  <c r="H22" i="6"/>
  <c r="H21" i="6"/>
  <c r="H20" i="6"/>
  <c r="H19" i="6"/>
  <c r="H18" i="6"/>
  <c r="C14" i="6"/>
  <c r="C23" i="6"/>
  <c r="C22" i="6"/>
  <c r="C21" i="6"/>
  <c r="C20" i="6"/>
  <c r="C19" i="6"/>
  <c r="J11" i="6"/>
  <c r="J10" i="6"/>
  <c r="Q19" i="4"/>
  <c r="Q9" i="4"/>
  <c r="O30" i="4"/>
  <c r="P30" i="4"/>
  <c r="I10" i="6" l="1"/>
  <c r="Q30" i="4"/>
  <c r="H10" i="6"/>
  <c r="N28" i="4"/>
  <c r="N29" i="4"/>
  <c r="N27" i="4"/>
  <c r="N24" i="4"/>
  <c r="N25" i="4"/>
  <c r="N23" i="4"/>
  <c r="N22" i="4"/>
  <c r="N21" i="4"/>
  <c r="N20" i="4"/>
  <c r="N18" i="4"/>
  <c r="N17" i="4"/>
  <c r="N15" i="4"/>
  <c r="N14" i="4"/>
  <c r="N13" i="4"/>
  <c r="N12" i="4"/>
  <c r="N11" i="4"/>
  <c r="N10" i="4"/>
  <c r="N9" i="4"/>
  <c r="M26" i="4"/>
  <c r="L26" i="4"/>
  <c r="N26" i="4" s="1"/>
  <c r="M19" i="4"/>
  <c r="L19" i="4"/>
  <c r="M16" i="4"/>
  <c r="L16" i="4"/>
  <c r="M9" i="4"/>
  <c r="L9" i="4"/>
  <c r="N19" i="4" l="1"/>
  <c r="N16" i="4"/>
  <c r="M30" i="4"/>
  <c r="L30" i="4"/>
  <c r="N30" i="4" l="1"/>
  <c r="C11" i="6"/>
  <c r="B11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<sst xmlns="http://schemas.openxmlformats.org/spreadsheetml/2006/main" count="599" uniqueCount="71">
  <si>
    <t>How to Use This Budget Tracker</t>
  </si>
  <si>
    <r>
      <t>Welcome! This budget tracker is designed to help you plan your weekly spending and compare your planned budget with what you actually spend.
Please follow the steps below:
1) Inside</t>
    </r>
    <r>
      <rPr>
        <i/>
        <sz val="12"/>
        <color theme="1" tint="4.9989318521683403E-2"/>
        <rFont val="Century Gothic"/>
        <family val="2"/>
        <scheme val="minor"/>
      </rPr>
      <t xml:space="preserve"> </t>
    </r>
    <r>
      <rPr>
        <b/>
        <i/>
        <sz val="12"/>
        <color theme="3"/>
        <rFont val="Century Gothic"/>
        <family val="2"/>
        <scheme val="minor"/>
      </rPr>
      <t>each month’s sheet</t>
    </r>
    <r>
      <rPr>
        <sz val="12"/>
        <color theme="1" tint="4.9989318521683403E-2"/>
        <rFont val="Century Gothic"/>
        <family val="2"/>
        <scheme val="minor"/>
      </rPr>
      <t xml:space="preserve">, </t>
    </r>
    <r>
      <rPr>
        <b/>
        <sz val="12"/>
        <color theme="1" tint="4.9989318521683403E-2"/>
        <rFont val="Century Gothic"/>
        <family val="2"/>
        <scheme val="minor"/>
      </rPr>
      <t>enter the amount you want to allocate (budget) per week</t>
    </r>
    <r>
      <rPr>
        <sz val="12"/>
        <color theme="1" tint="4.9989318521683403E-2"/>
        <rFont val="Century Gothic"/>
        <family val="2"/>
        <scheme val="minor"/>
      </rPr>
      <t xml:space="preserve"> to each predetermined category (e.g. rent, groceries, leisure). You can add new categories if needed.
2) At the end of each week,</t>
    </r>
    <r>
      <rPr>
        <b/>
        <sz val="12"/>
        <color theme="1" tint="4.9989318521683403E-2"/>
        <rFont val="Century Gothic"/>
        <family val="2"/>
        <scheme val="minor"/>
      </rPr>
      <t xml:space="preserve"> enter your actual spending</t>
    </r>
    <r>
      <rPr>
        <sz val="12"/>
        <color theme="1" tint="4.9989318521683403E-2"/>
        <rFont val="Century Gothic"/>
        <family val="2"/>
        <scheme val="minor"/>
      </rPr>
      <t xml:space="preserve"> for each category.
3) Once you’ve filled in your planned and actual spending, you can</t>
    </r>
    <r>
      <rPr>
        <b/>
        <sz val="12"/>
        <color theme="1" tint="4.9989318521683403E-2"/>
        <rFont val="Century Gothic"/>
        <family val="2"/>
        <scheme val="minor"/>
      </rPr>
      <t xml:space="preserve"> review your leisure and alcohol spending.</t>
    </r>
    <r>
      <rPr>
        <sz val="12"/>
        <color theme="1" tint="4.9989318521683403E-2"/>
        <rFont val="Century Gothic"/>
        <family val="2"/>
        <scheme val="minor"/>
      </rPr>
      <t xml:space="preserve"> Go to the </t>
    </r>
    <r>
      <rPr>
        <b/>
        <i/>
        <sz val="12"/>
        <color theme="3"/>
        <rFont val="Century Gothic"/>
        <family val="2"/>
        <scheme val="minor"/>
      </rPr>
      <t>Overview sheet</t>
    </r>
    <r>
      <rPr>
        <sz val="12"/>
        <color theme="1" tint="4.9989318521683403E-2"/>
        <rFont val="Century Gothic"/>
        <family val="2"/>
        <scheme val="minor"/>
      </rPr>
      <t>, select the month from the dropdown, and the graphs will update automatically.
*</t>
    </r>
    <r>
      <rPr>
        <u/>
        <sz val="12"/>
        <color theme="1" tint="4.9989318521683403E-2"/>
        <rFont val="Century Gothic"/>
        <family val="2"/>
        <scheme val="minor"/>
      </rPr>
      <t>IMPORTANT</t>
    </r>
    <r>
      <rPr>
        <sz val="12"/>
        <color theme="1" tint="4.9989318521683403E-2"/>
        <rFont val="Century Gothic"/>
        <family val="2"/>
        <scheme val="minor"/>
      </rPr>
      <t>: This tracker has all months, but</t>
    </r>
    <r>
      <rPr>
        <b/>
        <sz val="12"/>
        <color theme="1" tint="4.9989318521683403E-2"/>
        <rFont val="Century Gothic"/>
        <family val="2"/>
        <scheme val="minor"/>
      </rPr>
      <t xml:space="preserve"> to get started this year, you can just begin with the last week of November</t>
    </r>
    <r>
      <rPr>
        <sz val="12"/>
        <color theme="1" tint="4.9989318521683403E-2"/>
        <rFont val="Century Gothic"/>
        <family val="2"/>
        <scheme val="minor"/>
      </rPr>
      <t xml:space="preserve">. There's an example in week 4 of November.
</t>
    </r>
    <r>
      <rPr>
        <b/>
        <sz val="12"/>
        <color theme="5" tint="-0.249977111117893"/>
        <rFont val="Century Gothic"/>
        <family val="2"/>
        <scheme val="minor"/>
      </rPr>
      <t>This tracker is meant to be simple and flexible — use it in the way that works best for you!</t>
    </r>
  </si>
  <si>
    <t>My Life Budget Planner</t>
  </si>
  <si>
    <t>Month</t>
  </si>
  <si>
    <t>Nov</t>
  </si>
  <si>
    <t>Months</t>
  </si>
  <si>
    <t>Jan</t>
  </si>
  <si>
    <t>Alcohol</t>
  </si>
  <si>
    <t>Feb</t>
  </si>
  <si>
    <t>Actual Alcohol Spending</t>
  </si>
  <si>
    <t>Other</t>
  </si>
  <si>
    <t>Save</t>
  </si>
  <si>
    <t>Over</t>
  </si>
  <si>
    <t>Total</t>
  </si>
  <si>
    <t>Mar</t>
  </si>
  <si>
    <t>Planned Alcohol Budget</t>
  </si>
  <si>
    <t>Actual spending</t>
  </si>
  <si>
    <t>Apr</t>
  </si>
  <si>
    <t>Planned</t>
  </si>
  <si>
    <t>May</t>
  </si>
  <si>
    <t>Jun</t>
  </si>
  <si>
    <t>Leisure</t>
  </si>
  <si>
    <t>Jul</t>
  </si>
  <si>
    <t>Actual Leisure Spending</t>
  </si>
  <si>
    <t>Aug</t>
  </si>
  <si>
    <t>Planned Leisure Budget</t>
  </si>
  <si>
    <t>Sep</t>
  </si>
  <si>
    <t>Oct</t>
  </si>
  <si>
    <t>Category</t>
  </si>
  <si>
    <t>%</t>
  </si>
  <si>
    <t>Dec</t>
  </si>
  <si>
    <t>Eating out</t>
  </si>
  <si>
    <t>Coffee &amp; cafes</t>
  </si>
  <si>
    <t>Cinema, theater, events</t>
  </si>
  <si>
    <t>Streaming</t>
  </si>
  <si>
    <t>Travel/Trips</t>
  </si>
  <si>
    <t>Life Budget</t>
  </si>
  <si>
    <t>January</t>
  </si>
  <si>
    <t>Expenses</t>
  </si>
  <si>
    <t>Week 1</t>
  </si>
  <si>
    <t>Week 2</t>
  </si>
  <si>
    <t>Week 3</t>
  </si>
  <si>
    <t>Week 4</t>
  </si>
  <si>
    <t>Month's End</t>
  </si>
  <si>
    <t>Actual</t>
  </si>
  <si>
    <t>Actual - Planned</t>
  </si>
  <si>
    <t>Home</t>
  </si>
  <si>
    <t>Rent</t>
  </si>
  <si>
    <t>Water</t>
  </si>
  <si>
    <t>Electricity</t>
  </si>
  <si>
    <t>Gas</t>
  </si>
  <si>
    <t>Internet</t>
  </si>
  <si>
    <t>Cell phone</t>
  </si>
  <si>
    <t>Daily Living</t>
  </si>
  <si>
    <t>Groceries</t>
  </si>
  <si>
    <t>Transportation</t>
  </si>
  <si>
    <t>Alcohol (pub/bar/clubs)</t>
  </si>
  <si>
    <t>Personal care</t>
  </si>
  <si>
    <t>Clothing</t>
  </si>
  <si>
    <t>Medical</t>
  </si>
  <si>
    <t>Others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</si>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</sst>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(* #,##0_);_(* \(#,##0\);_(* &quot;-&quot;_);_(@_)"/>
    <numFmt numFmtId="43" formatCode="_(* #,##0.00_);_(* \(#,##0.00\);_(* &quot;-&quot;??_);_(@_)"/>
    <numFmt numFmtId="164" formatCode="#,##0.00\ &quot;€&quot;"/>
    <numFmt numFmtId="165" formatCode="#,##0\ [$€-1];[Red]\-#,##0\ [$€-1]"/>
    <numFmt numFmtId="166" formatCode="[$£-809]#,##0.00"/>
  </numFmts>
  <fonts count="44">
    <font>
      <sz val="11"/>
      <color theme="1" tint="4.9989318521683403E-2"/>
      <name val="Century Gothic"/>
      <family val="1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1"/>
      <scheme val="major"/>
    </font>
    <font>
      <sz val="32"/>
      <color theme="0"/>
      <name val="Century Gothic"/>
      <family val="1"/>
      <scheme val="major"/>
    </font>
    <font>
      <sz val="10"/>
      <color theme="1" tint="4.9989318521683403E-2"/>
      <name val="Century Gothic"/>
      <family val="1"/>
      <scheme val="minor"/>
    </font>
    <font>
      <b/>
      <sz val="11"/>
      <color rgb="FF3F3F3F"/>
      <name val="Century Gothic"/>
      <family val="2"/>
      <scheme val="minor"/>
    </font>
    <font>
      <sz val="12"/>
      <color theme="0"/>
      <name val="Century Gothic"/>
      <family val="2"/>
      <scheme val="minor"/>
    </font>
    <font>
      <b/>
      <sz val="14"/>
      <color theme="8" tint="-0.24994659260841701"/>
      <name val="Century Gothic"/>
      <family val="2"/>
      <scheme val="minor"/>
    </font>
    <font>
      <sz val="11"/>
      <name val="Century Gothic"/>
      <family val="2"/>
      <scheme val="minor"/>
    </font>
    <font>
      <sz val="11"/>
      <color theme="0"/>
      <name val="Century Gothic"/>
      <family val="1"/>
      <scheme val="minor"/>
    </font>
    <font>
      <sz val="11"/>
      <color theme="1" tint="4.9989318521683403E-2"/>
      <name val="Century Gothic"/>
      <family val="1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i/>
      <sz val="11"/>
      <color rgb="FF7F7F7F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1"/>
      <name val="Century Gothic"/>
      <family val="2"/>
      <scheme val="major"/>
    </font>
    <font>
      <sz val="11"/>
      <color theme="1" tint="4.9989318521683403E-2"/>
      <name val="Century Gothic"/>
      <family val="2"/>
      <scheme val="major"/>
    </font>
    <font>
      <sz val="20"/>
      <color rgb="FF3B3B3B"/>
      <name val="Century Gothic"/>
      <family val="2"/>
      <scheme val="major"/>
    </font>
    <font>
      <b/>
      <sz val="20"/>
      <color rgb="FF3B3B3B"/>
      <name val="Century Gothic"/>
      <family val="2"/>
      <scheme val="major"/>
    </font>
    <font>
      <b/>
      <sz val="11"/>
      <color rgb="FFFFFFFF"/>
      <name val="Century Gothic"/>
      <family val="2"/>
      <scheme val="major"/>
    </font>
    <font>
      <b/>
      <sz val="11"/>
      <color rgb="FF000000"/>
      <name val="Century Gothic"/>
      <family val="2"/>
      <scheme val="major"/>
    </font>
    <font>
      <sz val="11"/>
      <color rgb="FF000000"/>
      <name val="Century Gothic"/>
      <family val="2"/>
      <scheme val="major"/>
    </font>
    <font>
      <b/>
      <sz val="20"/>
      <color theme="3" tint="0.39997558519241921"/>
      <name val="Century Gothic"/>
      <family val="2"/>
      <scheme val="major"/>
    </font>
    <font>
      <b/>
      <sz val="11"/>
      <color theme="1" tint="4.9989318521683403E-2"/>
      <name val="Century Gothic"/>
      <family val="2"/>
      <scheme val="minor"/>
    </font>
    <font>
      <b/>
      <sz val="15"/>
      <color theme="0"/>
      <name val="Century Gothic"/>
      <family val="2"/>
      <scheme val="minor"/>
    </font>
    <font>
      <b/>
      <sz val="15"/>
      <color theme="3" tint="-0.499984740745262"/>
      <name val="Century Gothic"/>
      <family val="2"/>
      <scheme val="minor"/>
    </font>
    <font>
      <sz val="11"/>
      <color rgb="FFFF0000"/>
      <name val="Century Gothic"/>
      <family val="1"/>
      <scheme val="minor"/>
    </font>
    <font>
      <sz val="8"/>
      <name val="Century Gothic"/>
      <family val="1"/>
      <scheme val="minor"/>
    </font>
    <font>
      <b/>
      <sz val="11"/>
      <color indexed="8"/>
      <name val="Century Gothic"/>
      <family val="2"/>
      <scheme val="major"/>
    </font>
    <font>
      <b/>
      <sz val="45"/>
      <color theme="0"/>
      <name val="Century Gothic"/>
      <family val="2"/>
      <scheme val="minor"/>
    </font>
    <font>
      <b/>
      <sz val="25"/>
      <color theme="0"/>
      <name val="Century Gothic"/>
      <family val="2"/>
      <scheme val="minor"/>
    </font>
    <font>
      <sz val="12"/>
      <color theme="1" tint="4.9989318521683403E-2"/>
      <name val="Century Gothic"/>
      <family val="2"/>
      <scheme val="minor"/>
    </font>
    <font>
      <b/>
      <sz val="12"/>
      <color theme="1" tint="4.9989318521683403E-2"/>
      <name val="Century Gothic"/>
      <family val="2"/>
      <scheme val="minor"/>
    </font>
    <font>
      <i/>
      <sz val="12"/>
      <color theme="1" tint="4.9989318521683403E-2"/>
      <name val="Century Gothic"/>
      <family val="2"/>
      <scheme val="minor"/>
    </font>
    <font>
      <b/>
      <sz val="12"/>
      <color theme="5" tint="-0.249977111117893"/>
      <name val="Century Gothic"/>
      <family val="2"/>
      <scheme val="minor"/>
    </font>
    <font>
      <u/>
      <sz val="12"/>
      <color theme="1" tint="4.9989318521683403E-2"/>
      <name val="Century Gothic"/>
      <family val="2"/>
      <scheme val="minor"/>
    </font>
    <font>
      <b/>
      <i/>
      <sz val="12"/>
      <color theme="3"/>
      <name val="Century Gothic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-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rgb="FFDAE0E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5" tint="-0.249977111117893"/>
        <bgColor rgb="FF000000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DAE0EF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theme="3" tint="0.39994506668294322"/>
      </top>
      <bottom style="medium">
        <color theme="3" tint="0.39994506668294322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/>
      <diagonal/>
    </border>
    <border>
      <left style="thin">
        <color theme="3" tint="-0.249977111117893"/>
      </left>
      <right/>
      <top/>
      <bottom/>
      <diagonal/>
    </border>
    <border>
      <left/>
      <right style="thin">
        <color theme="3" tint="-0.249977111117893"/>
      </right>
      <top/>
      <bottom/>
      <diagonal/>
    </border>
    <border>
      <left style="thin">
        <color theme="0"/>
      </left>
      <right/>
      <top style="medium">
        <color rgb="FFFFFFFF"/>
      </top>
      <bottom/>
      <diagonal/>
    </border>
    <border>
      <left/>
      <right/>
      <top style="thin">
        <color theme="3" tint="-0.249977111117893"/>
      </top>
      <bottom/>
      <diagonal/>
    </border>
  </borders>
  <cellStyleXfs count="48">
    <xf numFmtId="0" fontId="0" fillId="0" borderId="0">
      <alignment horizontal="left" vertical="center" wrapText="1" indent="1"/>
    </xf>
    <xf numFmtId="9" fontId="7" fillId="0" borderId="5" applyFill="0" applyProtection="0">
      <alignment horizontal="center" vertical="center"/>
    </xf>
    <xf numFmtId="0" fontId="3" fillId="4" borderId="3" applyNumberFormat="0" applyProtection="0">
      <alignment horizontal="left" vertical="center" indent="3"/>
    </xf>
    <xf numFmtId="0" fontId="2" fillId="2" borderId="2" applyNumberFormat="0" applyProtection="0">
      <alignment horizontal="center" vertical="center"/>
    </xf>
    <xf numFmtId="0" fontId="2" fillId="5" borderId="4" applyNumberFormat="0" applyProtection="0">
      <alignment horizontal="center" vertical="center"/>
    </xf>
    <xf numFmtId="0" fontId="2" fillId="5" borderId="0" applyNumberFormat="0" applyBorder="0" applyProtection="0">
      <alignment horizontal="left" vertical="center" indent="1"/>
    </xf>
    <xf numFmtId="164" fontId="4" fillId="0" borderId="0" applyFont="0" applyFill="0" applyBorder="0" applyProtection="0">
      <alignment horizontal="right" vertical="center" indent="1"/>
    </xf>
    <xf numFmtId="164" fontId="4" fillId="0" borderId="0" applyFont="0" applyFill="0" applyBorder="0" applyProtection="0">
      <alignment horizontal="right" vertical="center"/>
    </xf>
    <xf numFmtId="0" fontId="8" fillId="0" borderId="1" applyNumberFormat="0" applyFont="0" applyAlignment="0" applyProtection="0"/>
    <xf numFmtId="0" fontId="5" fillId="3" borderId="6" applyNumberFormat="0" applyFont="0" applyFill="0" applyAlignment="0" applyProtection="0"/>
    <xf numFmtId="0" fontId="6" fillId="4" borderId="0" applyNumberFormat="0" applyBorder="0" applyProtection="0">
      <alignment horizontal="right" vertical="top" indent="10"/>
    </xf>
    <xf numFmtId="0" fontId="9" fillId="0" borderId="0" applyNumberFormat="0" applyFill="0" applyBorder="0" applyAlignment="0">
      <alignment horizontal="left" vertical="center" wrapText="1" indent="1"/>
    </xf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3" borderId="7" applyNumberFormat="0" applyAlignment="0" applyProtection="0"/>
    <xf numFmtId="0" fontId="16" fillId="0" borderId="8" applyNumberFormat="0" applyFill="0" applyAlignment="0" applyProtection="0"/>
    <xf numFmtId="0" fontId="17" fillId="9" borderId="9" applyNumberFormat="0" applyAlignment="0" applyProtection="0"/>
    <xf numFmtId="0" fontId="18" fillId="0" borderId="0" applyNumberFormat="0" applyFill="0" applyBorder="0" applyAlignment="0" applyProtection="0"/>
    <xf numFmtId="0" fontId="10" fillId="10" borderId="10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5">
    <xf numFmtId="0" fontId="0" fillId="0" borderId="0" xfId="0">
      <alignment horizontal="left" vertical="center" wrapText="1" indent="1"/>
    </xf>
    <xf numFmtId="0" fontId="22" fillId="0" borderId="0" xfId="0" applyFont="1" applyAlignment="1">
      <alignment vertical="center" wrapText="1" indent="1"/>
    </xf>
    <xf numFmtId="0" fontId="23" fillId="0" borderId="0" xfId="0" applyFont="1">
      <alignment horizontal="left" vertical="center" wrapText="1" inden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vertical="center" indent="1"/>
    </xf>
    <xf numFmtId="0" fontId="25" fillId="34" borderId="0" xfId="0" applyFont="1" applyFill="1" applyAlignment="1">
      <alignment vertical="center"/>
    </xf>
    <xf numFmtId="0" fontId="23" fillId="34" borderId="0" xfId="0" applyFont="1" applyFill="1">
      <alignment horizontal="left" vertical="center" wrapText="1" indent="1"/>
    </xf>
    <xf numFmtId="0" fontId="26" fillId="36" borderId="12" xfId="0" applyFont="1" applyFill="1" applyBorder="1" applyAlignment="1">
      <alignment vertical="center" indent="1"/>
    </xf>
    <xf numFmtId="0" fontId="27" fillId="37" borderId="0" xfId="0" applyFont="1" applyFill="1" applyAlignment="1">
      <alignment horizontal="left" vertical="center" indent="1"/>
    </xf>
    <xf numFmtId="0" fontId="27" fillId="37" borderId="0" xfId="0" applyFont="1" applyFill="1">
      <alignment horizontal="left" vertical="center" wrapText="1" indent="1"/>
    </xf>
    <xf numFmtId="0" fontId="28" fillId="0" borderId="0" xfId="0" applyFont="1">
      <alignment horizontal="left" vertical="center" wrapText="1" indent="1"/>
    </xf>
    <xf numFmtId="165" fontId="27" fillId="0" borderId="0" xfId="0" applyNumberFormat="1" applyFont="1" applyAlignment="1">
      <alignment horizontal="left" vertical="center" indent="1"/>
    </xf>
    <xf numFmtId="0" fontId="27" fillId="37" borderId="14" xfId="0" applyFont="1" applyFill="1" applyBorder="1" applyAlignment="1">
      <alignment horizontal="center" vertical="center"/>
    </xf>
    <xf numFmtId="0" fontId="27" fillId="37" borderId="0" xfId="0" applyFont="1" applyFill="1" applyAlignment="1">
      <alignment horizontal="center" vertical="center" wrapText="1"/>
    </xf>
    <xf numFmtId="166" fontId="28" fillId="0" borderId="14" xfId="0" applyNumberFormat="1" applyFont="1" applyBorder="1" applyAlignment="1">
      <alignment horizontal="center" vertical="center"/>
    </xf>
    <xf numFmtId="166" fontId="28" fillId="0" borderId="15" xfId="0" applyNumberFormat="1" applyFont="1" applyBorder="1" applyAlignment="1">
      <alignment horizontal="center" vertical="center" wrapText="1"/>
    </xf>
    <xf numFmtId="0" fontId="27" fillId="37" borderId="0" xfId="0" applyFont="1" applyFill="1" applyAlignment="1">
      <alignment horizontal="center" vertical="center"/>
    </xf>
    <xf numFmtId="0" fontId="27" fillId="38" borderId="0" xfId="0" applyFont="1" applyFill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166" fontId="28" fillId="0" borderId="0" xfId="0" applyNumberFormat="1" applyFont="1" applyAlignment="1">
      <alignment horizontal="center" vertical="center"/>
    </xf>
    <xf numFmtId="0" fontId="26" fillId="39" borderId="0" xfId="0" applyFont="1" applyFill="1" applyAlignment="1">
      <alignment vertical="center" indent="1"/>
    </xf>
    <xf numFmtId="0" fontId="23" fillId="35" borderId="0" xfId="0" applyFont="1" applyFill="1">
      <alignment horizontal="left" vertical="center" wrapText="1" indent="1"/>
    </xf>
    <xf numFmtId="0" fontId="29" fillId="0" borderId="0" xfId="0" applyFont="1" applyAlignment="1">
      <alignment vertical="center"/>
    </xf>
    <xf numFmtId="166" fontId="27" fillId="38" borderId="14" xfId="0" applyNumberFormat="1" applyFont="1" applyFill="1" applyBorder="1" applyAlignment="1">
      <alignment horizontal="center" vertical="center"/>
    </xf>
    <xf numFmtId="166" fontId="27" fillId="38" borderId="0" xfId="0" applyNumberFormat="1" applyFont="1" applyFill="1" applyAlignment="1">
      <alignment horizontal="center" vertical="center"/>
    </xf>
    <xf numFmtId="166" fontId="27" fillId="38" borderId="15" xfId="0" applyNumberFormat="1" applyFont="1" applyFill="1" applyBorder="1" applyAlignment="1">
      <alignment horizontal="center" vertical="center" wrapText="1"/>
    </xf>
    <xf numFmtId="166" fontId="27" fillId="37" borderId="14" xfId="0" applyNumberFormat="1" applyFont="1" applyFill="1" applyBorder="1" applyAlignment="1">
      <alignment horizontal="center" vertical="center"/>
    </xf>
    <xf numFmtId="166" fontId="27" fillId="37" borderId="0" xfId="0" applyNumberFormat="1" applyFont="1" applyFill="1" applyAlignment="1">
      <alignment horizontal="center" vertical="center"/>
    </xf>
    <xf numFmtId="0" fontId="32" fillId="38" borderId="0" xfId="0" applyFont="1" applyFill="1">
      <alignment horizontal="left" vertical="center" wrapText="1" indent="1"/>
    </xf>
    <xf numFmtId="0" fontId="30" fillId="0" borderId="0" xfId="0" applyFont="1">
      <alignment horizontal="left" vertical="center" wrapText="1" indent="1"/>
    </xf>
    <xf numFmtId="0" fontId="31" fillId="35" borderId="0" xfId="0" applyFont="1" applyFill="1">
      <alignment horizontal="left" vertical="center" wrapText="1" indent="1"/>
    </xf>
    <xf numFmtId="0" fontId="0" fillId="0" borderId="17" xfId="0" applyBorder="1">
      <alignment horizontal="left" vertical="center" wrapText="1" indent="1"/>
    </xf>
    <xf numFmtId="166" fontId="0" fillId="0" borderId="17" xfId="0" applyNumberFormat="1" applyBorder="1" applyAlignment="1">
      <alignment horizontal="center" vertical="center" wrapText="1"/>
    </xf>
    <xf numFmtId="0" fontId="17" fillId="41" borderId="17" xfId="0" applyFont="1" applyFill="1" applyBorder="1">
      <alignment horizontal="left" vertical="center" wrapText="1" indent="1"/>
    </xf>
    <xf numFmtId="9" fontId="7" fillId="0" borderId="5" xfId="1">
      <alignment horizontal="center" vertical="center"/>
    </xf>
    <xf numFmtId="166" fontId="28" fillId="38" borderId="17" xfId="0" applyNumberFormat="1" applyFont="1" applyFill="1" applyBorder="1" applyAlignment="1">
      <alignment horizontal="center" vertical="center" wrapText="1"/>
    </xf>
    <xf numFmtId="166" fontId="27" fillId="42" borderId="15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9" fontId="8" fillId="0" borderId="0" xfId="1" applyFont="1" applyBorder="1">
      <alignment horizontal="center" vertical="center"/>
    </xf>
    <xf numFmtId="166" fontId="23" fillId="0" borderId="0" xfId="0" applyNumberFormat="1" applyFont="1">
      <alignment horizontal="left" vertical="center" wrapText="1" indent="1"/>
    </xf>
    <xf numFmtId="0" fontId="33" fillId="0" borderId="0" xfId="0" applyFont="1">
      <alignment horizontal="left" vertical="center" wrapText="1" indent="1"/>
    </xf>
    <xf numFmtId="0" fontId="0" fillId="0" borderId="0" xfId="0" applyAlignment="1">
      <alignment vertical="center"/>
    </xf>
    <xf numFmtId="165" fontId="35" fillId="0" borderId="0" xfId="0" applyNumberFormat="1" applyFont="1" applyAlignment="1">
      <alignment horizontal="left" vertical="center" indent="1"/>
    </xf>
    <xf numFmtId="166" fontId="35" fillId="42" borderId="15" xfId="0" applyNumberFormat="1" applyFont="1" applyFill="1" applyBorder="1" applyAlignment="1">
      <alignment horizontal="center" vertical="center" wrapText="1"/>
    </xf>
    <xf numFmtId="9" fontId="8" fillId="0" borderId="5" xfId="1" applyFont="1">
      <alignment horizontal="center" vertical="center"/>
    </xf>
    <xf numFmtId="0" fontId="9" fillId="0" borderId="0" xfId="0" applyFont="1">
      <alignment horizontal="left" vertical="center" wrapText="1" indent="1"/>
    </xf>
    <xf numFmtId="0" fontId="0" fillId="35" borderId="0" xfId="0" applyFill="1">
      <alignment horizontal="left" vertical="center" wrapText="1" indent="1"/>
    </xf>
    <xf numFmtId="0" fontId="36" fillId="35" borderId="0" xfId="0" applyFont="1" applyFill="1" applyAlignment="1">
      <alignment horizontal="left" vertical="center" indent="1"/>
    </xf>
    <xf numFmtId="0" fontId="0" fillId="34" borderId="0" xfId="0" applyFill="1">
      <alignment horizontal="left" vertical="center" wrapText="1" indent="1"/>
    </xf>
    <xf numFmtId="0" fontId="37" fillId="35" borderId="0" xfId="0" applyFont="1" applyFill="1" applyAlignment="1">
      <alignment horizontal="left" vertical="center" indent="1"/>
    </xf>
    <xf numFmtId="0" fontId="38" fillId="0" borderId="0" xfId="0" applyFont="1" applyAlignment="1">
      <alignment horizontal="left" vertical="top" wrapText="1"/>
    </xf>
    <xf numFmtId="0" fontId="26" fillId="39" borderId="16" xfId="0" applyFont="1" applyFill="1" applyBorder="1" applyAlignment="1">
      <alignment horizontal="center" vertical="center"/>
    </xf>
    <xf numFmtId="0" fontId="26" fillId="39" borderId="13" xfId="0" applyFont="1" applyFill="1" applyBorder="1" applyAlignment="1">
      <alignment horizontal="center" vertical="center"/>
    </xf>
    <xf numFmtId="0" fontId="26" fillId="40" borderId="16" xfId="0" applyFont="1" applyFill="1" applyBorder="1" applyAlignment="1">
      <alignment horizontal="center" vertical="center"/>
    </xf>
    <xf numFmtId="0" fontId="26" fillId="40" borderId="13" xfId="0" applyFont="1" applyFill="1" applyBorder="1" applyAlignment="1">
      <alignment horizontal="center" vertical="center"/>
    </xf>
  </cellXfs>
  <cellStyles count="48">
    <cellStyle name="20% - Énfasis1" xfId="25" builtinId="30" customBuiltin="1"/>
    <cellStyle name="20% - Énfasis2" xfId="29" builtinId="34" customBuiltin="1"/>
    <cellStyle name="20% - Énfasis3" xfId="33" builtinId="38" customBuiltin="1"/>
    <cellStyle name="20% - Énfasis4" xfId="37" builtinId="42" customBuiltin="1"/>
    <cellStyle name="20% - Énfasis5" xfId="41" builtinId="46" customBuiltin="1"/>
    <cellStyle name="20% - Énfasis6" xfId="45" builtinId="50" customBuiltin="1"/>
    <cellStyle name="40% - Énfasis1" xfId="26" builtinId="31" customBuiltin="1"/>
    <cellStyle name="40% - Énfasis2" xfId="30" builtinId="35" customBuiltin="1"/>
    <cellStyle name="40% - Énfasis3" xfId="34" builtinId="39" customBuiltin="1"/>
    <cellStyle name="40% - Énfasis4" xfId="38" builtinId="43" customBuiltin="1"/>
    <cellStyle name="40% - Énfasis5" xfId="42" builtinId="47" customBuiltin="1"/>
    <cellStyle name="40% - Énfasis6" xfId="46" builtinId="51" customBuiltin="1"/>
    <cellStyle name="60% - Énfasis1" xfId="27" builtinId="32" customBuiltin="1"/>
    <cellStyle name="60% - Énfasis2" xfId="31" builtinId="36" customBuiltin="1"/>
    <cellStyle name="60% - Énfasis3" xfId="35" builtinId="40" customBuiltin="1"/>
    <cellStyle name="60% - Énfasis4" xfId="39" builtinId="44" customBuiltin="1"/>
    <cellStyle name="60% - Énfasis5" xfId="43" builtinId="48" customBuiltin="1"/>
    <cellStyle name="60% - Énfasis6" xfId="47" builtinId="52" customBuiltin="1"/>
    <cellStyle name="Año" xfId="11" xr:uid="{00000000-0005-0000-0000-00000B000000}"/>
    <cellStyle name="Bueno" xfId="15" builtinId="26" customBuiltin="1"/>
    <cellStyle name="Cálculo" xfId="18" builtinId="22" customBuiltin="1"/>
    <cellStyle name="Celda de comprobación" xfId="20" builtinId="23" customBuiltin="1"/>
    <cellStyle name="Celda vinculada" xfId="19" builtinId="24" customBuiltin="1"/>
    <cellStyle name="Encabezado 1" xfId="3" builtinId="16" customBuiltin="1"/>
    <cellStyle name="Encabezado 4" xfId="14" builtinId="19" customBuiltin="1"/>
    <cellStyle name="Énfasis1" xfId="10" builtinId="29" customBuiltin="1"/>
    <cellStyle name="Énfasis2" xfId="28" builtinId="33" customBuiltin="1"/>
    <cellStyle name="Énfasis3" xfId="32" builtinId="37" customBuiltin="1"/>
    <cellStyle name="Énfasis4" xfId="36" builtinId="41" customBuiltin="1"/>
    <cellStyle name="Énfasis5" xfId="40" builtinId="45" customBuiltin="1"/>
    <cellStyle name="Énfasis6" xfId="44" builtinId="49" customBuiltin="1"/>
    <cellStyle name="Entrada" xfId="8" builtinId="20" customBuiltin="1"/>
    <cellStyle name="Incorrecto" xfId="16" builtinId="27" customBuiltin="1"/>
    <cellStyle name="Millares" xfId="12" builtinId="3" customBuiltin="1"/>
    <cellStyle name="Millares [0]" xfId="13" builtinId="6" customBuiltin="1"/>
    <cellStyle name="Moneda" xfId="6" builtinId="4" customBuiltin="1"/>
    <cellStyle name="Moneda [0]" xfId="7" builtinId="7" customBuiltin="1"/>
    <cellStyle name="Neutral" xfId="17" builtinId="28" customBuiltin="1"/>
    <cellStyle name="Normal" xfId="0" builtinId="0" customBuiltin="1"/>
    <cellStyle name="Notas" xfId="22" builtinId="10" customBuiltin="1"/>
    <cellStyle name="Porcentaje" xfId="1" builtinId="5" customBuiltin="1"/>
    <cellStyle name="Salida" xfId="9" builtinId="21" customBuiltin="1"/>
    <cellStyle name="Texto de advertencia" xfId="21" builtinId="11" customBuiltin="1"/>
    <cellStyle name="Texto explicativo" xfId="23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24" builtinId="25" customBuiltin="1"/>
  </cellStyles>
  <dxfs count="322"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EA6A5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auto="1"/>
      </font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  <border diagonalUp="0" diagonalDown="0">
        <left/>
        <right/>
        <top style="thick">
          <color theme="0"/>
        </top>
        <bottom style="thick">
          <color theme="0"/>
        </bottom>
        <vertical/>
        <horizontal/>
      </border>
    </dxf>
    <dxf>
      <border>
        <bottom style="medium">
          <color theme="7"/>
        </bottom>
      </border>
    </dxf>
  </dxfs>
  <tableStyles count="1" defaultPivotStyle="PivotStyleMedium13">
    <tableStyle name="Presupuesto mensual simple" pivot="0" count="3" xr9:uid="{00000000-0011-0000-FFFF-FFFF00000000}">
      <tableStyleElement type="wholeTable" dxfId="321"/>
      <tableStyleElement type="headerRow" dxfId="320"/>
      <tableStyleElement type="firstRowStripe" dxfId="319"/>
    </tableStyle>
  </tableStyles>
  <colors>
    <mruColors>
      <color rgb="FFCC3838"/>
      <color rgb="FFDAE0EF"/>
      <color rgb="FFEA6A50"/>
      <color rgb="FFF08B70"/>
      <color rgb="FFFF7C80"/>
      <color rgb="FFECB6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/>
              <a:t>Leisure Budget Breakdown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Overview!$C$26</c:f>
              <c:strCache>
                <c:ptCount val="1"/>
                <c:pt idx="0">
                  <c:v>%</c:v>
                </c:pt>
              </c:strCache>
            </c:strRef>
          </c:tx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Overview!$B$27:$B$30</c:f>
              <c:strCache>
                <c:ptCount val="4"/>
                <c:pt idx="0">
                  <c:v>Alcohol</c:v>
                </c:pt>
                <c:pt idx="1">
                  <c:v>Eating out</c:v>
                </c:pt>
                <c:pt idx="2">
                  <c:v>Coffee &amp; cafes</c:v>
                </c:pt>
                <c:pt idx="3">
                  <c:v>Cinema, theater, events</c:v>
                </c:pt>
              </c:strCache>
            </c:strRef>
          </c:cat>
          <c:val>
            <c:numRef>
              <c:f>Overview!$C$27:$C$30</c:f>
              <c:numCache>
                <c:formatCode>General</c:formatCode>
                <c:ptCount val="4"/>
                <c:pt idx="0">
                  <c:v>0.3125</c:v>
                </c:pt>
                <c:pt idx="1">
                  <c:v>0.41666666666666669</c:v>
                </c:pt>
                <c:pt idx="2">
                  <c:v>0.16666666666666666</c:v>
                </c:pt>
                <c:pt idx="3">
                  <c:v>0.10416666666666667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F1-453E-AB49-2058E196D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>
                <a:solidFill>
                  <a:srgbClr val="000000"/>
                </a:solidFill>
              </a:defRPr>
            </a:pPr>
            <a:r>
              <a:rPr lang="en-US"/>
              <a:t>Planned Leisure Budget vs. Actual Spending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Overview!$F$9</c:f>
              <c:strCache>
                <c:ptCount val="1"/>
                <c:pt idx="0">
                  <c:v>Alcohol</c:v>
                </c:pt>
              </c:strCache>
            </c:strRef>
          </c:tx>
          <c:spPr>
            <a:solidFill>
              <a:srgbClr val="44546A"/>
            </a:solidFill>
          </c:spPr>
          <c:invertIfNegative val="0"/>
          <c:dLbls>
            <c:dLbl>
              <c:idx val="0"/>
              <c:numFmt formatCode="\£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FFFF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31-4018-85EF-5C71F30C9E89}"/>
                </c:ext>
              </c:extLst>
            </c:dLbl>
            <c:dLbl>
              <c:idx val="1"/>
              <c:numFmt formatCode="\£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FFFF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E31-4018-85EF-5C71F30C9E8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Overview!$E$10:$E$11</c:f>
              <c:strCache>
                <c:ptCount val="2"/>
                <c:pt idx="0">
                  <c:v>Actual spending</c:v>
                </c:pt>
                <c:pt idx="1">
                  <c:v>Planned</c:v>
                </c:pt>
              </c:strCache>
            </c:strRef>
          </c:cat>
          <c:val>
            <c:numRef>
              <c:f>Overview!$F$10:$F$11</c:f>
              <c:numCache>
                <c:formatCode>General</c:formatCode>
                <c:ptCount val="2"/>
                <c:pt idx="0">
                  <c:v>27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31-4018-85EF-5C71F30C9E89}"/>
            </c:ext>
          </c:extLst>
        </c:ser>
        <c:ser>
          <c:idx val="1"/>
          <c:order val="1"/>
          <c:tx>
            <c:strRef>
              <c:f>Overview!$G$9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9E9E9E"/>
            </a:solidFill>
          </c:spPr>
          <c:invertIfNegative val="0"/>
          <c:dLbls>
            <c:dLbl>
              <c:idx val="0"/>
              <c:numFmt formatCode="\£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FFFF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31-4018-85EF-5C71F30C9E89}"/>
                </c:ext>
              </c:extLst>
            </c:dLbl>
            <c:dLbl>
              <c:idx val="1"/>
              <c:numFmt formatCode="\£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FFFF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E31-4018-85EF-5C71F30C9E8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Overview!$E$10:$E$11</c:f>
              <c:strCache>
                <c:ptCount val="2"/>
                <c:pt idx="0">
                  <c:v>Actual spending</c:v>
                </c:pt>
                <c:pt idx="1">
                  <c:v>Planned</c:v>
                </c:pt>
              </c:strCache>
            </c:strRef>
          </c:cat>
          <c:val>
            <c:numRef>
              <c:f>Overview!$G$10:$G$11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31-4018-85EF-5C71F30C9E89}"/>
            </c:ext>
          </c:extLst>
        </c:ser>
        <c:ser>
          <c:idx val="2"/>
          <c:order val="2"/>
          <c:tx>
            <c:strRef>
              <c:f>Overview!$H$9</c:f>
              <c:strCache>
                <c:ptCount val="1"/>
                <c:pt idx="0">
                  <c:v>Save</c:v>
                </c:pt>
              </c:strCache>
            </c:strRef>
          </c:tx>
          <c:spPr>
            <a:solidFill>
              <a:srgbClr val="5ACB8A"/>
            </a:solidFill>
          </c:spPr>
          <c:invertIfNegative val="0"/>
          <c:cat>
            <c:strRef>
              <c:f>Overview!$E$10:$E$11</c:f>
              <c:strCache>
                <c:ptCount val="2"/>
                <c:pt idx="0">
                  <c:v>Actual spending</c:v>
                </c:pt>
                <c:pt idx="1">
                  <c:v>Planned</c:v>
                </c:pt>
              </c:strCache>
            </c:strRef>
          </c:cat>
          <c:val>
            <c:numRef>
              <c:f>Overview!$H$10:$H$11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31-4018-85EF-5C71F30C9E89}"/>
            </c:ext>
          </c:extLst>
        </c:ser>
        <c:ser>
          <c:idx val="3"/>
          <c:order val="3"/>
          <c:tx>
            <c:strRef>
              <c:f>Overview!$I$9</c:f>
              <c:strCache>
                <c:ptCount val="1"/>
                <c:pt idx="0">
                  <c:v>Over</c:v>
                </c:pt>
              </c:strCache>
            </c:strRef>
          </c:tx>
          <c:spPr>
            <a:solidFill>
              <a:srgbClr val="EA6A50"/>
            </a:solidFill>
          </c:spPr>
          <c:invertIfNegative val="0"/>
          <c:dLbls>
            <c:dLbl>
              <c:idx val="0"/>
              <c:numFmt formatCode="\£0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200" b="1">
                      <a:solidFill>
                        <a:srgbClr val="FFFFFF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31-4018-85EF-5C71F30C9E8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E31-4018-85EF-5C71F30C9E8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Overview!$E$10:$E$11</c:f>
              <c:strCache>
                <c:ptCount val="2"/>
                <c:pt idx="0">
                  <c:v>Actual spending</c:v>
                </c:pt>
                <c:pt idx="1">
                  <c:v>Planned</c:v>
                </c:pt>
              </c:strCache>
            </c:strRef>
          </c:cat>
          <c:val>
            <c:numRef>
              <c:f>Overview!$I$10:$I$11</c:f>
              <c:numCache>
                <c:formatCode>General</c:formatCode>
                <c:ptCount val="2"/>
                <c:pt idx="0">
                  <c:v>12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31-4018-85EF-5C71F30C9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6870768"/>
        <c:axId val="446871728"/>
      </c:barChart>
      <c:catAx>
        <c:axId val="446870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</a:defRPr>
            </a:pPr>
            <a:endParaRPr lang="en-US"/>
          </a:p>
        </c:txPr>
        <c:crossAx val="446871728"/>
        <c:crosses val="autoZero"/>
        <c:auto val="1"/>
        <c:lblAlgn val="ctr"/>
        <c:lblOffset val="100"/>
        <c:noMultiLvlLbl val="0"/>
      </c:catAx>
      <c:valAx>
        <c:axId val="446871728"/>
        <c:scaling>
          <c:orientation val="minMax"/>
        </c:scaling>
        <c:delete val="0"/>
        <c:axPos val="b"/>
        <c:majorGridlines>
          <c:spPr>
            <a:ln>
              <a:solidFill>
                <a:srgbClr val="E0E0E0"/>
              </a:solidFill>
            </a:ln>
          </c:spPr>
        </c:majorGridlines>
        <c:numFmt formatCode="\£0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46870768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/>
            </a:pPr>
            <a:r>
              <a:rPr lang="en-US"/>
              <a:t>Leisure Spending Breakdown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Overview!$H$26</c:f>
              <c:strCache>
                <c:ptCount val="1"/>
                <c:pt idx="0">
                  <c:v>%</c:v>
                </c:pt>
              </c:strCache>
            </c:strRef>
          </c:tx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Overview!$G$27:$G$30</c:f>
              <c:strCache>
                <c:ptCount val="4"/>
                <c:pt idx="0">
                  <c:v>Alcohol</c:v>
                </c:pt>
                <c:pt idx="1">
                  <c:v>Eating out</c:v>
                </c:pt>
                <c:pt idx="2">
                  <c:v>Coffee &amp; cafes</c:v>
                </c:pt>
                <c:pt idx="3">
                  <c:v>Cinema, theater, events</c:v>
                </c:pt>
              </c:strCache>
            </c:strRef>
          </c:cat>
          <c:val>
            <c:numRef>
              <c:f>Overview!$H$27:$H$30</c:f>
              <c:numCache>
                <c:formatCode>General</c:formatCode>
                <c:ptCount val="4"/>
                <c:pt idx="0">
                  <c:v>0.45</c:v>
                </c:pt>
                <c:pt idx="1">
                  <c:v>0.33333333333333331</c:v>
                </c:pt>
                <c:pt idx="2">
                  <c:v>0.13333333333333333</c:v>
                </c:pt>
                <c:pt idx="3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C-4906-A00E-3FE9166E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322090</xdr:colOff>
      <xdr:row>0</xdr:row>
      <xdr:rowOff>0</xdr:rowOff>
    </xdr:from>
    <xdr:to>
      <xdr:col>11</xdr:col>
      <xdr:colOff>765395</xdr:colOff>
      <xdr:row>1</xdr:row>
      <xdr:rowOff>524692</xdr:rowOff>
    </xdr:to>
    <xdr:sp macro="" textlink="#REF!">
      <xdr:nvSpPr>
        <xdr:cNvPr id="2" name="Año del presupuesto" descr="Año del presupuesto">
          <a:extLst>
            <a:ext uri="{FF2B5EF4-FFF2-40B4-BE49-F238E27FC236}">
              <a16:creationId xmlns:a16="http://schemas.microsoft.com/office/drawing/2014/main" id="{2BA8EBDE-47AB-4A72-AA29-D5914AC1BA69}"/>
            </a:ext>
            <a:ext uri="{147F2762-F138-4A5C-976F-8EAC2B608ADB}">
              <a16:predDERef xmlns:a16="http://schemas.microsoft.com/office/drawing/2014/main" pred="{BD230B27-FC6F-43EC-92DC-A6663A512BE5}"/>
            </a:ext>
          </a:extLst>
        </xdr:cNvPr>
        <xdr:cNvSpPr/>
      </xdr:nvSpPr>
      <xdr:spPr>
        <a:xfrm>
          <a:off x="12394347" y="1002574"/>
          <a:ext cx="1325048" cy="698863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b"/>
        <a:lstStyle/>
        <a:p>
          <a:pPr algn="ctr" rtl="0"/>
          <a:fld id="{9923941E-DD12-4942-9C7A-7F1C172CA821}" type="TxLink">
            <a:rPr lang="en-US" sz="3200" b="1" i="0" u="none" strike="noStrike">
              <a:solidFill>
                <a:schemeClr val="accent4">
                  <a:lumMod val="50000"/>
                </a:schemeClr>
              </a:solidFill>
              <a:latin typeface="Century Gothic" panose="020B0502020202020204" pitchFamily="34" charset="0"/>
            </a:rPr>
            <a:pPr algn="ctr" rtl="0"/>
            <a:t>2025</a:t>
          </a:fld>
          <a:endParaRPr lang="en-US" sz="3200" b="1">
            <a:solidFill>
              <a:schemeClr val="accent4">
                <a:lumMod val="5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4</xdr:col>
      <xdr:colOff>1097280</xdr:colOff>
      <xdr:row>36</xdr:row>
      <xdr:rowOff>50800</xdr:rowOff>
    </xdr:to>
    <xdr:graphicFrame macro="">
      <xdr:nvGraphicFramePr>
        <xdr:cNvPr id="103" name="LeisurePieChart">
          <a:extLst>
            <a:ext uri="{FF2B5EF4-FFF2-40B4-BE49-F238E27FC236}">
              <a16:creationId xmlns:a16="http://schemas.microsoft.com/office/drawing/2014/main" id="{86AFA669-E999-8E6D-0A52-0815D9C34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</xdr:row>
      <xdr:rowOff>0</xdr:rowOff>
    </xdr:from>
    <xdr:to>
      <xdr:col>10</xdr:col>
      <xdr:colOff>381000</xdr:colOff>
      <xdr:row>14</xdr:row>
      <xdr:rowOff>195580</xdr:rowOff>
    </xdr:to>
    <xdr:graphicFrame macro="">
      <xdr:nvGraphicFramePr>
        <xdr:cNvPr id="104" name="LeisureChart">
          <a:extLst>
            <a:ext uri="{FF2B5EF4-FFF2-40B4-BE49-F238E27FC236}">
              <a16:creationId xmlns:a16="http://schemas.microsoft.com/office/drawing/2014/main" id="{96F2F6D9-BE5F-43AE-4241-95F365C8E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16</xdr:row>
      <xdr:rowOff>0</xdr:rowOff>
    </xdr:from>
    <xdr:to>
      <xdr:col>10</xdr:col>
      <xdr:colOff>76200</xdr:colOff>
      <xdr:row>36</xdr:row>
      <xdr:rowOff>50800</xdr:rowOff>
    </xdr:to>
    <xdr:graphicFrame macro="">
      <xdr:nvGraphicFramePr>
        <xdr:cNvPr id="105" name="LeisurePieChart-s">
          <a:extLst>
            <a:ext uri="{FF2B5EF4-FFF2-40B4-BE49-F238E27FC236}">
              <a16:creationId xmlns:a16="http://schemas.microsoft.com/office/drawing/2014/main" id="{230638B2-D6E6-AFF1-6F37-B28A40896E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tf02930040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285054"/>
      </a:accent1>
      <a:accent2>
        <a:srgbClr val="E6B52A"/>
      </a:accent2>
      <a:accent3>
        <a:srgbClr val="69AB90"/>
      </a:accent3>
      <a:accent4>
        <a:srgbClr val="5E9C9C"/>
      </a:accent4>
      <a:accent5>
        <a:srgbClr val="F0FCFB"/>
      </a:accent5>
      <a:accent6>
        <a:srgbClr val="A7E3C1"/>
      </a:accent6>
      <a:hlink>
        <a:srgbClr val="0563C1"/>
      </a:hlink>
      <a:folHlink>
        <a:srgbClr val="954F72"/>
      </a:folHlink>
    </a:clrScheme>
    <a:fontScheme name="ION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0A7F4-E2FC-4338-B8CE-804BC893EA4B}">
  <sheetPr codeName="Sheet14">
    <tabColor theme="9" tint="-0.499984740745262"/>
  </sheetPr>
  <dimension ref="B2:L29"/>
  <sheetViews>
    <sheetView showGridLines="0" tabSelected="1" zoomScale="85" zoomScaleNormal="85" workbookViewId="0">
      <selection activeCell="N21" sqref="N21"/>
    </sheetView>
  </sheetViews>
  <sheetFormatPr defaultRowHeight="13.9"/>
  <cols>
    <col min="1" max="1" width="2.5" customWidth="1"/>
    <col min="3" max="3" width="35.625" customWidth="1"/>
  </cols>
  <sheetData>
    <row r="2" spans="2:12" ht="31.15" customHeight="1">
      <c r="B2" s="49" t="s">
        <v>0</v>
      </c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2:12"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</row>
    <row r="5" spans="2:12">
      <c r="B5" s="50" t="s">
        <v>1</v>
      </c>
      <c r="C5" s="50"/>
      <c r="D5" s="50"/>
      <c r="E5" s="50"/>
      <c r="F5" s="50"/>
      <c r="G5" s="50"/>
      <c r="H5" s="50"/>
      <c r="I5" s="50"/>
      <c r="J5" s="50"/>
      <c r="K5" s="50"/>
      <c r="L5" s="50"/>
    </row>
    <row r="6" spans="2:12"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2:12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2:12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2:12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2:12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2:12"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</row>
    <row r="12" spans="2:12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2:12"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</row>
    <row r="14" spans="2:12"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</row>
    <row r="15" spans="2:12"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</row>
    <row r="16" spans="2:12"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</row>
    <row r="17" spans="2:12"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</row>
    <row r="18" spans="2:12"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</row>
    <row r="19" spans="2:12"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</row>
    <row r="20" spans="2:12"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2:12"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2:12"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2:12"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</row>
    <row r="24" spans="2:12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</row>
    <row r="25" spans="2:12"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</row>
    <row r="26" spans="2:12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</row>
    <row r="27" spans="2:12"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</row>
    <row r="28" spans="2:12"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</row>
    <row r="29" spans="2:12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</row>
  </sheetData>
  <mergeCells count="1">
    <mergeCell ref="B5:L2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A07D8-1F45-45DC-8B00-0B53A575B534}">
  <sheetPr codeName="Sheet1">
    <tabColor theme="3"/>
  </sheetPr>
  <dimension ref="B2:Z32"/>
  <sheetViews>
    <sheetView showGridLines="0" zoomScale="70" zoomScaleNormal="70" workbookViewId="0">
      <selection activeCell="C6" sqref="C6"/>
    </sheetView>
  </sheetViews>
  <sheetFormatPr defaultRowHeight="13.9"/>
  <cols>
    <col min="1" max="1" width="2.75" customWidth="1"/>
    <col min="2" max="2" width="31.625" customWidth="1"/>
    <col min="3" max="3" width="19.625" customWidth="1"/>
    <col min="4" max="4" width="9.375" bestFit="1" customWidth="1"/>
    <col min="5" max="5" width="21" customWidth="1"/>
    <col min="6" max="6" width="13.625" bestFit="1" customWidth="1"/>
    <col min="7" max="7" width="25.5" customWidth="1"/>
    <col min="8" max="8" width="13.5" customWidth="1"/>
    <col min="9" max="9" width="12.625" customWidth="1"/>
    <col min="11" max="11" width="11.5" customWidth="1"/>
    <col min="12" max="12" width="12.5" customWidth="1"/>
    <col min="14" max="14" width="11.75" customWidth="1"/>
    <col min="26" max="26" width="12.25" customWidth="1"/>
  </cols>
  <sheetData>
    <row r="2" spans="2:26" ht="54.6" customHeight="1">
      <c r="B2" s="47" t="s">
        <v>2</v>
      </c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2:26"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</row>
    <row r="6" spans="2:26" ht="24.6" customHeight="1">
      <c r="B6" s="30" t="s">
        <v>3</v>
      </c>
      <c r="C6" s="28" t="s">
        <v>4</v>
      </c>
      <c r="M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5" t="s">
        <v>5</v>
      </c>
    </row>
    <row r="7" spans="2:26" ht="13.9" customHeight="1">
      <c r="M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5" t="s">
        <v>6</v>
      </c>
    </row>
    <row r="8" spans="2:26" ht="26.45" customHeight="1">
      <c r="B8" s="29" t="s">
        <v>7</v>
      </c>
      <c r="M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5" t="s">
        <v>8</v>
      </c>
    </row>
    <row r="9" spans="2:26" ht="21" customHeight="1">
      <c r="B9" s="31" t="s">
        <v>9</v>
      </c>
      <c r="C9" s="32" cm="1">
        <f t="array" aca="1" ref="C9" ca="1">+INDIRECT($C$6&amp;"!P20")</f>
        <v>27</v>
      </c>
      <c r="F9" t="s">
        <v>7</v>
      </c>
      <c r="G9" t="s">
        <v>10</v>
      </c>
      <c r="H9" t="s">
        <v>11</v>
      </c>
      <c r="I9" t="s">
        <v>12</v>
      </c>
      <c r="J9" t="s">
        <v>13</v>
      </c>
      <c r="M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5" t="s">
        <v>14</v>
      </c>
    </row>
    <row r="10" spans="2:26" ht="21" customHeight="1">
      <c r="B10" s="31" t="s">
        <v>15</v>
      </c>
      <c r="C10" s="32" cm="1">
        <f t="array" aca="1" ref="C10" ca="1">+INDIRECT($C$6&amp;"!O20")</f>
        <v>15</v>
      </c>
      <c r="E10" t="s">
        <v>16</v>
      </c>
      <c r="F10" cm="1">
        <f t="array" aca="1" ref="F10" ca="1">+INDIRECT($C$6&amp;"!P20")</f>
        <v>27</v>
      </c>
      <c r="G10">
        <f ca="1">+SUM(INDIRECT($C$6&amp;"!P21:P25"))</f>
        <v>33</v>
      </c>
      <c r="H10">
        <f ca="1">+IF(J10&lt;J11,J11-J10,0)</f>
        <v>0</v>
      </c>
      <c r="I10">
        <f ca="1">IF(J10&gt;J11,J10-J11,0)</f>
        <v>12</v>
      </c>
      <c r="J10" cm="1">
        <f t="array" aca="1" ref="J10" ca="1">+INDIRECT($C$6&amp;"!P19")</f>
        <v>60</v>
      </c>
      <c r="M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5" t="s">
        <v>17</v>
      </c>
    </row>
    <row r="11" spans="2:26" ht="21" customHeight="1">
      <c r="B11" s="33" t="str">
        <f ca="1">IF(C11&gt;0,"OVER YOUR PLAN",IF(C11&lt;0,"FREED UP FOR YOUR GOALS","BALANCE"))</f>
        <v>OVER YOUR PLAN</v>
      </c>
      <c r="C11" s="35">
        <f ca="1">+C9-C10</f>
        <v>12</v>
      </c>
      <c r="E11" t="s">
        <v>18</v>
      </c>
      <c r="F11" cm="1">
        <f t="array" aca="1" ref="F11" ca="1">+INDIRECT($C$6&amp;"!O20")</f>
        <v>15</v>
      </c>
      <c r="G11">
        <f ca="1">+SUM(INDIRECT($C$6&amp;"!O21:O25"))</f>
        <v>33</v>
      </c>
      <c r="H11">
        <v>0</v>
      </c>
      <c r="I11">
        <v>0</v>
      </c>
      <c r="J11" cm="1">
        <f t="array" aca="1" ref="J11" ca="1">+INDIRECT(C6&amp;"!O19")</f>
        <v>48</v>
      </c>
      <c r="M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5" t="s">
        <v>19</v>
      </c>
    </row>
    <row r="12" spans="2:26" ht="21" customHeight="1">
      <c r="M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5" t="s">
        <v>20</v>
      </c>
    </row>
    <row r="13" spans="2:26" ht="21" customHeight="1">
      <c r="B13" s="29" t="s">
        <v>21</v>
      </c>
      <c r="M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5" t="s">
        <v>22</v>
      </c>
    </row>
    <row r="14" spans="2:26" ht="21" customHeight="1">
      <c r="B14" s="31" t="s">
        <v>23</v>
      </c>
      <c r="C14" s="32" cm="1">
        <f t="array" aca="1" ref="C14" ca="1">+INDIRECT($C$6&amp;"!P19")</f>
        <v>60</v>
      </c>
      <c r="M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5" t="s">
        <v>24</v>
      </c>
    </row>
    <row r="15" spans="2:26" ht="21" customHeight="1">
      <c r="B15" s="31" t="s">
        <v>25</v>
      </c>
      <c r="C15" s="32" cm="1">
        <f t="array" aca="1" ref="C15" ca="1">+INDIRECT($C$6&amp;"!O19")</f>
        <v>48</v>
      </c>
      <c r="M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5" t="s">
        <v>26</v>
      </c>
    </row>
    <row r="16" spans="2:26">
      <c r="M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5" t="s">
        <v>27</v>
      </c>
    </row>
    <row r="17" spans="2:26">
      <c r="B17" t="s">
        <v>28</v>
      </c>
      <c r="C17" t="s">
        <v>29</v>
      </c>
      <c r="G17" t="s">
        <v>28</v>
      </c>
      <c r="H17" t="s">
        <v>29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5" t="s">
        <v>4</v>
      </c>
    </row>
    <row r="18" spans="2:26">
      <c r="B18" s="10" t="s">
        <v>7</v>
      </c>
      <c r="C18" s="38" cm="1">
        <f t="array" aca="1" ref="C18" ca="1">+INDIRECT($C$6&amp;"!O20")/INDIRECT($C$6&amp;"!$O$19")</f>
        <v>0.3125</v>
      </c>
      <c r="D18" s="37"/>
      <c r="G18" s="10" t="s">
        <v>7</v>
      </c>
      <c r="H18" s="38" cm="1">
        <f t="array" aca="1" ref="H18" ca="1">+INDIRECT($C$6&amp;"!P20")/INDIRECT($C$6&amp;"!$P$19")</f>
        <v>0.45</v>
      </c>
      <c r="I18" s="41"/>
      <c r="J18" s="41"/>
      <c r="K18" s="41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5" t="s">
        <v>30</v>
      </c>
    </row>
    <row r="19" spans="2:26">
      <c r="B19" s="10" t="s">
        <v>31</v>
      </c>
      <c r="C19" s="38" cm="1">
        <f t="array" aca="1" ref="C19" ca="1">+INDIRECT($C$6&amp;"!O21")/INDIRECT($C$6&amp;"!$O$19")</f>
        <v>0.41666666666666669</v>
      </c>
      <c r="D19" s="37"/>
      <c r="G19" s="10" t="s">
        <v>31</v>
      </c>
      <c r="H19" s="38" cm="1">
        <f t="array" aca="1" ref="H19" ca="1">+INDIRECT($C$6&amp;"!P21")/INDIRECT($C$6&amp;"!$P$19")</f>
        <v>0.33333333333333331</v>
      </c>
      <c r="I19" s="41"/>
      <c r="J19" s="41"/>
      <c r="K19" s="41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</row>
    <row r="20" spans="2:26">
      <c r="B20" t="s">
        <v>32</v>
      </c>
      <c r="C20" s="38" cm="1">
        <f t="array" aca="1" ref="C20" ca="1">+INDIRECT($C$6&amp;"!O22")/INDIRECT($C$6&amp;"!$O$19")</f>
        <v>0.16666666666666666</v>
      </c>
      <c r="D20" s="37"/>
      <c r="G20" t="s">
        <v>32</v>
      </c>
      <c r="H20" s="38" cm="1">
        <f t="array" aca="1" ref="H20" ca="1">+INDIRECT($C$6&amp;"!P22")/INDIRECT($C$6&amp;"!$P$19")</f>
        <v>0.13333333333333333</v>
      </c>
      <c r="I20" s="41"/>
      <c r="J20" s="41"/>
      <c r="K20" s="41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</row>
    <row r="21" spans="2:26">
      <c r="B21" s="10" t="s">
        <v>33</v>
      </c>
      <c r="C21" s="38" cm="1">
        <f t="array" aca="1" ref="C21" ca="1">+INDIRECT($C$6&amp;"!O23")/INDIRECT($C$6&amp;"!$O$19")</f>
        <v>0.10416666666666667</v>
      </c>
      <c r="D21" s="37"/>
      <c r="G21" s="10" t="s">
        <v>33</v>
      </c>
      <c r="H21" s="38" cm="1">
        <f t="array" aca="1" ref="H21" ca="1">+INDIRECT($C$6&amp;"!P23")/INDIRECT($C$6&amp;"!$P$19")</f>
        <v>8.3333333333333329E-2</v>
      </c>
      <c r="I21" s="41"/>
      <c r="J21" s="41"/>
      <c r="K21" s="41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</row>
    <row r="22" spans="2:26">
      <c r="B22" s="10" t="s">
        <v>34</v>
      </c>
      <c r="C22" s="38" cm="1">
        <f t="array" aca="1" ref="C22" ca="1">+INDIRECT($C$6&amp;"!O24")/INDIRECT($C$6&amp;"!$O$19")</f>
        <v>0</v>
      </c>
      <c r="G22" s="10" t="s">
        <v>34</v>
      </c>
      <c r="H22" s="38" cm="1">
        <f t="array" aca="1" ref="H22" ca="1">+INDIRECT($C$6&amp;"!P24")/INDIRECT($C$6&amp;"!$P$19")</f>
        <v>0</v>
      </c>
      <c r="I22" s="41"/>
      <c r="J22" s="41"/>
      <c r="K22" s="41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</row>
    <row r="23" spans="2:26">
      <c r="B23" s="10" t="s">
        <v>35</v>
      </c>
      <c r="C23" s="38" cm="1">
        <f t="array" aca="1" ref="C23" ca="1">+INDIRECT($C$6&amp;"!O25")/INDIRECT($C$6&amp;"!$O$19")</f>
        <v>0</v>
      </c>
      <c r="G23" s="10" t="s">
        <v>35</v>
      </c>
      <c r="H23" s="38" cm="1">
        <f t="array" aca="1" ref="H23" ca="1">+INDIRECT($C$6&amp;"!P25")/INDIRECT($C$6&amp;"!$P$19")</f>
        <v>0</v>
      </c>
      <c r="I23" s="41"/>
      <c r="J23" s="41"/>
      <c r="K23" s="41"/>
    </row>
    <row r="24" spans="2:26">
      <c r="G24" s="41"/>
      <c r="H24" s="41"/>
      <c r="I24" s="41"/>
      <c r="J24" s="41"/>
      <c r="K24" s="41"/>
    </row>
    <row r="25" spans="2:26">
      <c r="G25" s="41"/>
      <c r="H25" s="41"/>
      <c r="I25" s="41"/>
      <c r="J25" s="41"/>
      <c r="K25" s="41"/>
    </row>
    <row r="26" spans="2:26">
      <c r="B26" t="s">
        <v>28</v>
      </c>
      <c r="C26" t="s">
        <v>29</v>
      </c>
      <c r="G26" t="s">
        <v>28</v>
      </c>
      <c r="H26" t="s">
        <v>29</v>
      </c>
      <c r="I26" s="41"/>
      <c r="J26" s="41"/>
      <c r="K26" s="41"/>
    </row>
    <row r="27" spans="2:26">
      <c r="B27" t="s">
        <v>7</v>
      </c>
      <c r="C27">
        <v>0.3125</v>
      </c>
      <c r="G27" t="s">
        <v>7</v>
      </c>
      <c r="H27">
        <v>0.45</v>
      </c>
      <c r="I27" s="41"/>
      <c r="J27" s="41"/>
      <c r="K27" s="41"/>
    </row>
    <row r="28" spans="2:26">
      <c r="B28" t="s">
        <v>31</v>
      </c>
      <c r="C28">
        <v>0.41666666666666669</v>
      </c>
      <c r="G28" t="s">
        <v>31</v>
      </c>
      <c r="H28">
        <v>0.33333333333333331</v>
      </c>
      <c r="I28" s="41"/>
      <c r="J28" s="41"/>
      <c r="K28" s="41"/>
    </row>
    <row r="29" spans="2:26">
      <c r="B29" t="s">
        <v>32</v>
      </c>
      <c r="C29">
        <v>0.16666666666666666</v>
      </c>
      <c r="G29" t="s">
        <v>32</v>
      </c>
      <c r="H29">
        <v>0.13333333333333333</v>
      </c>
      <c r="I29" s="41"/>
      <c r="J29" s="41"/>
      <c r="K29" s="41"/>
    </row>
    <row r="30" spans="2:26">
      <c r="B30" t="s">
        <v>33</v>
      </c>
      <c r="C30">
        <v>0.10416666666666667</v>
      </c>
      <c r="G30" t="s">
        <v>33</v>
      </c>
      <c r="H30">
        <v>8.3333333333333329E-2</v>
      </c>
      <c r="I30" s="41"/>
      <c r="J30" s="41"/>
      <c r="K30" s="41"/>
    </row>
    <row r="31" spans="2:26">
      <c r="F31" s="41"/>
      <c r="G31" s="41"/>
      <c r="H31" s="41"/>
      <c r="I31" s="41"/>
      <c r="J31" s="41"/>
      <c r="K31" s="41"/>
    </row>
    <row r="32" spans="2:26">
      <c r="F32" s="41"/>
      <c r="G32" s="41"/>
      <c r="H32" s="41"/>
      <c r="I32" s="41"/>
      <c r="J32" s="41"/>
      <c r="K32" s="41"/>
    </row>
  </sheetData>
  <phoneticPr fontId="34" type="noConversion"/>
  <conditionalFormatting sqref="B11">
    <cfRule type="containsText" dxfId="318" priority="7" operator="containsText" text="Balance">
      <formula>NOT(ISERROR(SEARCH("Balance",B11)))</formula>
    </cfRule>
    <cfRule type="containsText" dxfId="317" priority="11" operator="containsText" text="Freed up for your goals">
      <formula>NOT(ISERROR(SEARCH("Freed up for your goals",B11)))</formula>
    </cfRule>
    <cfRule type="containsText" dxfId="316" priority="12" operator="containsText" text="Over your plan">
      <formula>NOT(ISERROR(SEARCH("Over your plan",B11)))</formula>
    </cfRule>
  </conditionalFormatting>
  <conditionalFormatting sqref="C11">
    <cfRule type="cellIs" dxfId="315" priority="3" operator="lessThan">
      <formula>0</formula>
    </cfRule>
    <cfRule type="cellIs" dxfId="314" priority="4" operator="greaterThan">
      <formula>0</formula>
    </cfRule>
  </conditionalFormatting>
  <dataValidations count="1">
    <dataValidation type="list" allowBlank="1" showInputMessage="1" showErrorMessage="1" sqref="C6" xr:uid="{82E3F1D8-D71A-4070-B937-724E28EA4A10}">
      <formula1>$Z$7:$Z$18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5854BBE-BFB9-4EA2-8819-5FD4D70E103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C11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22E77-545B-46E6-B734-9FE080B22F63}">
  <sheetPr codeName="Sheet8"/>
  <dimension ref="A1:Q38"/>
  <sheetViews>
    <sheetView showGridLines="0" workbookViewId="0">
      <pane xSplit="2" topLeftCell="C1" activePane="topRight" state="frozen"/>
      <selection pane="topRight" activeCell="H21" sqref="H21"/>
      <selection activeCell="O27" sqref="O27:P29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37</v>
      </c>
      <c r="C4" s="11"/>
      <c r="D4" s="11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>+D9-C9</f>
        <v>0</v>
      </c>
      <c r="F9" s="23">
        <f>+SUM(F10:F15)</f>
        <v>0</v>
      </c>
      <c r="G9" s="24">
        <f>+SUM(G10:G15)</f>
        <v>0</v>
      </c>
      <c r="H9" s="25">
        <f t="shared" ref="H9:H30" si="0">+G9-F9</f>
        <v>0</v>
      </c>
      <c r="I9" s="23">
        <f>+SUM(I10:I15)</f>
        <v>0</v>
      </c>
      <c r="J9" s="24">
        <f>+SUM(J10:J15)</f>
        <v>0</v>
      </c>
      <c r="K9" s="25">
        <f t="shared" ref="K9:K30" si="1">+J9-I9</f>
        <v>0</v>
      </c>
      <c r="L9" s="23">
        <f>+SUM(L10:L15)</f>
        <v>0</v>
      </c>
      <c r="M9" s="24">
        <f>+SUM(M10:M15)</f>
        <v>0</v>
      </c>
      <c r="N9" s="25">
        <f t="shared" ref="N9:N30" si="2">+M9-L9</f>
        <v>0</v>
      </c>
      <c r="O9" s="23">
        <f>+SUM(O10:O15)</f>
        <v>0</v>
      </c>
      <c r="P9" s="24">
        <f>+SUM(P10:P15)</f>
        <v>0</v>
      </c>
      <c r="Q9" s="25">
        <f t="shared" ref="Q9:Q16" si="3">+P9-O9</f>
        <v>0</v>
      </c>
    </row>
    <row r="10" spans="1:17">
      <c r="B10" s="18" t="s">
        <v>47</v>
      </c>
      <c r="C10" s="14"/>
      <c r="D10" s="19"/>
      <c r="E10" s="15">
        <f>+D10-C10</f>
        <v>0</v>
      </c>
      <c r="F10" s="14"/>
      <c r="G10" s="19"/>
      <c r="H10" s="15">
        <f t="shared" si="0"/>
        <v>0</v>
      </c>
      <c r="I10" s="14"/>
      <c r="J10" s="19"/>
      <c r="K10" s="15">
        <f t="shared" si="1"/>
        <v>0</v>
      </c>
      <c r="L10" s="14"/>
      <c r="M10" s="19"/>
      <c r="N10" s="15">
        <f t="shared" si="2"/>
        <v>0</v>
      </c>
      <c r="O10" s="14">
        <f>+C10+F10+I10+L10</f>
        <v>0</v>
      </c>
      <c r="P10" s="19">
        <f>+D10+G10+J10+M10</f>
        <v>0</v>
      </c>
      <c r="Q10" s="15">
        <f>+P10-O10</f>
        <v>0</v>
      </c>
    </row>
    <row r="11" spans="1:17">
      <c r="B11" s="18" t="s">
        <v>48</v>
      </c>
      <c r="C11" s="14"/>
      <c r="D11" s="19"/>
      <c r="E11" s="15">
        <f>+D11-C11</f>
        <v>0</v>
      </c>
      <c r="F11" s="14"/>
      <c r="G11" s="19"/>
      <c r="H11" s="15">
        <f t="shared" si="0"/>
        <v>0</v>
      </c>
      <c r="I11" s="14"/>
      <c r="J11" s="19"/>
      <c r="K11" s="15">
        <f t="shared" si="1"/>
        <v>0</v>
      </c>
      <c r="L11" s="14"/>
      <c r="M11" s="19"/>
      <c r="N11" s="15">
        <f t="shared" si="2"/>
        <v>0</v>
      </c>
      <c r="O11" s="14">
        <f>+C11+F11+I11+L11</f>
        <v>0</v>
      </c>
      <c r="P11" s="19">
        <f>+D11+G11+J11+M11</f>
        <v>0</v>
      </c>
      <c r="Q11" s="15">
        <f>+P11-O11</f>
        <v>0</v>
      </c>
    </row>
    <row r="12" spans="1:17">
      <c r="B12" s="18" t="s">
        <v>49</v>
      </c>
      <c r="C12" s="14"/>
      <c r="D12" s="19"/>
      <c r="E12" s="15">
        <f>+D12-C12</f>
        <v>0</v>
      </c>
      <c r="F12" s="14"/>
      <c r="G12" s="19"/>
      <c r="H12" s="15">
        <f t="shared" si="0"/>
        <v>0</v>
      </c>
      <c r="I12" s="14"/>
      <c r="J12" s="19"/>
      <c r="K12" s="15">
        <f t="shared" si="1"/>
        <v>0</v>
      </c>
      <c r="L12" s="14"/>
      <c r="M12" s="19"/>
      <c r="N12" s="15">
        <f t="shared" si="2"/>
        <v>0</v>
      </c>
      <c r="O12" s="14">
        <f t="shared" ref="O12:O15" si="4">+C12+F12+I12+L12</f>
        <v>0</v>
      </c>
      <c r="P12" s="19">
        <f t="shared" ref="P12:P15" si="5">+D12+G12+J12+M12</f>
        <v>0</v>
      </c>
      <c r="Q12" s="15">
        <f t="shared" ref="Q12:Q15" si="6">+P12-O12</f>
        <v>0</v>
      </c>
    </row>
    <row r="13" spans="1:17">
      <c r="B13" s="2" t="s">
        <v>50</v>
      </c>
      <c r="C13" s="14"/>
      <c r="D13" s="19"/>
      <c r="E13" s="15">
        <f>+D13-C13</f>
        <v>0</v>
      </c>
      <c r="F13" s="14"/>
      <c r="G13" s="19"/>
      <c r="H13" s="15">
        <f t="shared" si="0"/>
        <v>0</v>
      </c>
      <c r="I13" s="14"/>
      <c r="J13" s="19"/>
      <c r="K13" s="15">
        <f t="shared" si="1"/>
        <v>0</v>
      </c>
      <c r="L13" s="14"/>
      <c r="M13" s="19"/>
      <c r="N13" s="15">
        <f t="shared" si="2"/>
        <v>0</v>
      </c>
      <c r="O13" s="14">
        <f t="shared" si="4"/>
        <v>0</v>
      </c>
      <c r="P13" s="19">
        <f t="shared" si="5"/>
        <v>0</v>
      </c>
      <c r="Q13" s="15">
        <f t="shared" si="6"/>
        <v>0</v>
      </c>
    </row>
    <row r="14" spans="1:17">
      <c r="B14" s="18" t="s">
        <v>51</v>
      </c>
      <c r="C14" s="14"/>
      <c r="D14" s="19"/>
      <c r="E14" s="15">
        <f t="shared" ref="E14:E18" si="7">+D14-C14</f>
        <v>0</v>
      </c>
      <c r="F14" s="14"/>
      <c r="G14" s="19"/>
      <c r="H14" s="15">
        <f t="shared" si="0"/>
        <v>0</v>
      </c>
      <c r="I14" s="14"/>
      <c r="J14" s="19"/>
      <c r="K14" s="15">
        <f t="shared" si="1"/>
        <v>0</v>
      </c>
      <c r="L14" s="14"/>
      <c r="M14" s="19"/>
      <c r="N14" s="15">
        <f t="shared" si="2"/>
        <v>0</v>
      </c>
      <c r="O14" s="14">
        <f t="shared" si="4"/>
        <v>0</v>
      </c>
      <c r="P14" s="19">
        <f t="shared" si="5"/>
        <v>0</v>
      </c>
      <c r="Q14" s="15">
        <f t="shared" si="6"/>
        <v>0</v>
      </c>
    </row>
    <row r="15" spans="1:17">
      <c r="B15" s="18" t="s">
        <v>52</v>
      </c>
      <c r="C15" s="14"/>
      <c r="D15" s="19"/>
      <c r="E15" s="15">
        <f>+D15-C15</f>
        <v>0</v>
      </c>
      <c r="F15" s="14"/>
      <c r="G15" s="19"/>
      <c r="H15" s="15">
        <f t="shared" si="0"/>
        <v>0</v>
      </c>
      <c r="I15" s="14"/>
      <c r="J15" s="19"/>
      <c r="K15" s="15">
        <f t="shared" si="1"/>
        <v>0</v>
      </c>
      <c r="L15" s="14"/>
      <c r="M15" s="19"/>
      <c r="N15" s="15">
        <f t="shared" si="2"/>
        <v>0</v>
      </c>
      <c r="O15" s="14">
        <f t="shared" si="4"/>
        <v>0</v>
      </c>
      <c r="P15" s="19">
        <f t="shared" si="5"/>
        <v>0</v>
      </c>
      <c r="Q15" s="15">
        <f t="shared" si="6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>+D16-C16</f>
        <v>0</v>
      </c>
      <c r="F16" s="23">
        <f>+SUM(F17:F18)</f>
        <v>0</v>
      </c>
      <c r="G16" s="24">
        <f>+SUM(G17:G18)</f>
        <v>0</v>
      </c>
      <c r="H16" s="25">
        <f t="shared" si="0"/>
        <v>0</v>
      </c>
      <c r="I16" s="23">
        <f>+SUM(I17:I18)</f>
        <v>0</v>
      </c>
      <c r="J16" s="24">
        <f>+SUM(J17:J18)</f>
        <v>0</v>
      </c>
      <c r="K16" s="25">
        <f t="shared" si="1"/>
        <v>0</v>
      </c>
      <c r="L16" s="23">
        <f>+SUM(L17:L18)</f>
        <v>0</v>
      </c>
      <c r="M16" s="24">
        <f>+SUM(M17:M18)</f>
        <v>0</v>
      </c>
      <c r="N16" s="25">
        <f t="shared" si="2"/>
        <v>0</v>
      </c>
      <c r="O16" s="23">
        <f>+SUM(O17:O18)</f>
        <v>0</v>
      </c>
      <c r="P16" s="24">
        <f>+SUM(P17:P18)</f>
        <v>0</v>
      </c>
      <c r="Q16" s="25">
        <f t="shared" si="3"/>
        <v>0</v>
      </c>
    </row>
    <row r="17" spans="2:17">
      <c r="B17" s="18" t="s">
        <v>54</v>
      </c>
      <c r="C17" s="14"/>
      <c r="D17" s="19"/>
      <c r="E17" s="15">
        <f>+D17-C17</f>
        <v>0</v>
      </c>
      <c r="F17" s="14"/>
      <c r="G17" s="19"/>
      <c r="H17" s="15">
        <f t="shared" si="0"/>
        <v>0</v>
      </c>
      <c r="I17" s="14"/>
      <c r="J17" s="19"/>
      <c r="K17" s="15">
        <f t="shared" si="1"/>
        <v>0</v>
      </c>
      <c r="L17" s="14"/>
      <c r="M17" s="19"/>
      <c r="N17" s="15">
        <f t="shared" si="2"/>
        <v>0</v>
      </c>
      <c r="O17" s="14">
        <f>+C17+F17+I17+L17</f>
        <v>0</v>
      </c>
      <c r="P17" s="19">
        <f>+D17+G17+J17+M17</f>
        <v>0</v>
      </c>
      <c r="Q17" s="15">
        <f>+P17-O17</f>
        <v>0</v>
      </c>
    </row>
    <row r="18" spans="2:17">
      <c r="B18" s="18" t="s">
        <v>55</v>
      </c>
      <c r="C18" s="14"/>
      <c r="D18" s="19"/>
      <c r="E18" s="15">
        <f t="shared" si="7"/>
        <v>0</v>
      </c>
      <c r="F18" s="14"/>
      <c r="G18" s="19"/>
      <c r="H18" s="15">
        <f t="shared" si="0"/>
        <v>0</v>
      </c>
      <c r="I18" s="14"/>
      <c r="J18" s="19"/>
      <c r="K18" s="15">
        <f t="shared" si="1"/>
        <v>0</v>
      </c>
      <c r="L18" s="14"/>
      <c r="M18" s="19"/>
      <c r="N18" s="15">
        <f t="shared" si="2"/>
        <v>0</v>
      </c>
      <c r="O18" s="14">
        <f>+C18+F18+I18+L18</f>
        <v>0</v>
      </c>
      <c r="P18" s="19">
        <f>+D18+G18+J18+M18</f>
        <v>0</v>
      </c>
      <c r="Q18" s="15">
        <f>+P18-O18</f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ref="E19:E30" si="8">+D19-C19</f>
        <v>0</v>
      </c>
      <c r="F19" s="23">
        <f>+SUM(F20:F25)</f>
        <v>0</v>
      </c>
      <c r="G19" s="24">
        <f>+SUM(G20:G25)</f>
        <v>0</v>
      </c>
      <c r="H19" s="25">
        <f t="shared" si="0"/>
        <v>0</v>
      </c>
      <c r="I19" s="23">
        <f>+SUM(I20:I25)</f>
        <v>0</v>
      </c>
      <c r="J19" s="24">
        <f>+SUM(J20:J25)</f>
        <v>0</v>
      </c>
      <c r="K19" s="25">
        <f t="shared" si="1"/>
        <v>0</v>
      </c>
      <c r="L19" s="23">
        <f>+SUM(L20:L25)</f>
        <v>0</v>
      </c>
      <c r="M19" s="24">
        <f>+SUM(M20:M25)</f>
        <v>0</v>
      </c>
      <c r="N19" s="25">
        <f t="shared" si="2"/>
        <v>0</v>
      </c>
      <c r="O19" s="23">
        <f>+SUM(O20:O25)</f>
        <v>0</v>
      </c>
      <c r="P19" s="24">
        <f>+SUM(P20:P25)</f>
        <v>0</v>
      </c>
      <c r="Q19" s="25">
        <f>+P19-O19</f>
        <v>0</v>
      </c>
    </row>
    <row r="20" spans="2:17">
      <c r="B20" s="10" t="s">
        <v>56</v>
      </c>
      <c r="C20" s="14"/>
      <c r="D20" s="19"/>
      <c r="E20" s="15">
        <f t="shared" si="8"/>
        <v>0</v>
      </c>
      <c r="F20" s="14"/>
      <c r="G20" s="19"/>
      <c r="H20" s="15">
        <f t="shared" si="0"/>
        <v>0</v>
      </c>
      <c r="I20" s="14"/>
      <c r="J20" s="19"/>
      <c r="K20" s="15">
        <f t="shared" si="1"/>
        <v>0</v>
      </c>
      <c r="L20" s="14"/>
      <c r="M20" s="19"/>
      <c r="N20" s="15">
        <f t="shared" si="2"/>
        <v>0</v>
      </c>
      <c r="O20" s="14">
        <f t="shared" ref="O20:P20" si="9">+C20+F20+I20+L20</f>
        <v>0</v>
      </c>
      <c r="P20" s="19">
        <f t="shared" si="9"/>
        <v>0</v>
      </c>
      <c r="Q20" s="15">
        <f>+P20-O20</f>
        <v>0</v>
      </c>
    </row>
    <row r="21" spans="2:17">
      <c r="B21" s="10" t="s">
        <v>31</v>
      </c>
      <c r="C21" s="14"/>
      <c r="D21" s="19"/>
      <c r="E21" s="15">
        <f t="shared" si="8"/>
        <v>0</v>
      </c>
      <c r="F21" s="14"/>
      <c r="G21" s="19"/>
      <c r="H21" s="15">
        <f t="shared" si="0"/>
        <v>0</v>
      </c>
      <c r="I21" s="14"/>
      <c r="J21" s="19"/>
      <c r="K21" s="15">
        <f t="shared" si="1"/>
        <v>0</v>
      </c>
      <c r="L21" s="14"/>
      <c r="M21" s="19"/>
      <c r="N21" s="15">
        <f t="shared" si="2"/>
        <v>0</v>
      </c>
      <c r="O21" s="14">
        <f t="shared" ref="O21:O25" si="10">+C21+F21+I21+L21</f>
        <v>0</v>
      </c>
      <c r="P21" s="19">
        <f t="shared" ref="P21:P25" si="11">+D21+G21+J21+M21</f>
        <v>0</v>
      </c>
      <c r="Q21" s="15">
        <f t="shared" ref="Q21:Q25" si="12">+P21-O21</f>
        <v>0</v>
      </c>
    </row>
    <row r="22" spans="2:17">
      <c r="B22" t="s">
        <v>32</v>
      </c>
      <c r="C22" s="14"/>
      <c r="D22" s="19"/>
      <c r="E22" s="15">
        <f t="shared" si="8"/>
        <v>0</v>
      </c>
      <c r="F22" s="14"/>
      <c r="G22" s="19"/>
      <c r="H22" s="15">
        <f t="shared" si="0"/>
        <v>0</v>
      </c>
      <c r="I22" s="14"/>
      <c r="J22" s="19"/>
      <c r="K22" s="15">
        <f t="shared" si="1"/>
        <v>0</v>
      </c>
      <c r="L22" s="14"/>
      <c r="M22" s="19"/>
      <c r="N22" s="15">
        <f t="shared" si="2"/>
        <v>0</v>
      </c>
      <c r="O22" s="14">
        <f t="shared" si="10"/>
        <v>0</v>
      </c>
      <c r="P22" s="19">
        <f t="shared" si="11"/>
        <v>0</v>
      </c>
      <c r="Q22" s="15">
        <f t="shared" si="12"/>
        <v>0</v>
      </c>
    </row>
    <row r="23" spans="2:17">
      <c r="B23" s="10" t="s">
        <v>33</v>
      </c>
      <c r="C23" s="14"/>
      <c r="D23" s="19"/>
      <c r="E23" s="15">
        <f t="shared" si="8"/>
        <v>0</v>
      </c>
      <c r="F23" s="14"/>
      <c r="G23" s="19"/>
      <c r="H23" s="15">
        <f t="shared" si="0"/>
        <v>0</v>
      </c>
      <c r="I23" s="14"/>
      <c r="J23" s="19"/>
      <c r="K23" s="15">
        <f t="shared" si="1"/>
        <v>0</v>
      </c>
      <c r="L23" s="14"/>
      <c r="M23" s="19"/>
      <c r="N23" s="15">
        <f t="shared" si="2"/>
        <v>0</v>
      </c>
      <c r="O23" s="14">
        <f t="shared" si="10"/>
        <v>0</v>
      </c>
      <c r="P23" s="19">
        <f t="shared" si="11"/>
        <v>0</v>
      </c>
      <c r="Q23" s="15">
        <f t="shared" si="12"/>
        <v>0</v>
      </c>
    </row>
    <row r="24" spans="2:17">
      <c r="B24" s="10" t="s">
        <v>34</v>
      </c>
      <c r="C24" s="14"/>
      <c r="D24" s="19"/>
      <c r="E24" s="15">
        <f t="shared" si="8"/>
        <v>0</v>
      </c>
      <c r="F24" s="14"/>
      <c r="G24" s="19"/>
      <c r="H24" s="15">
        <f t="shared" si="0"/>
        <v>0</v>
      </c>
      <c r="I24" s="14"/>
      <c r="J24" s="19"/>
      <c r="K24" s="15">
        <f t="shared" si="1"/>
        <v>0</v>
      </c>
      <c r="L24" s="14"/>
      <c r="M24" s="19"/>
      <c r="N24" s="15">
        <f t="shared" si="2"/>
        <v>0</v>
      </c>
      <c r="O24" s="14">
        <f t="shared" si="10"/>
        <v>0</v>
      </c>
      <c r="P24" s="19">
        <f t="shared" si="11"/>
        <v>0</v>
      </c>
      <c r="Q24" s="15">
        <f t="shared" si="12"/>
        <v>0</v>
      </c>
    </row>
    <row r="25" spans="2:17">
      <c r="B25" s="10" t="s">
        <v>35</v>
      </c>
      <c r="C25" s="14"/>
      <c r="D25" s="19"/>
      <c r="E25" s="15">
        <f t="shared" si="8"/>
        <v>0</v>
      </c>
      <c r="F25" s="14"/>
      <c r="G25" s="19"/>
      <c r="H25" s="15">
        <f t="shared" si="0"/>
        <v>0</v>
      </c>
      <c r="I25" s="14"/>
      <c r="J25" s="19"/>
      <c r="K25" s="15">
        <f t="shared" si="1"/>
        <v>0</v>
      </c>
      <c r="L25" s="14"/>
      <c r="M25" s="19"/>
      <c r="N25" s="15">
        <f t="shared" si="2"/>
        <v>0</v>
      </c>
      <c r="O25" s="14">
        <f t="shared" si="10"/>
        <v>0</v>
      </c>
      <c r="P25" s="19">
        <f t="shared" si="11"/>
        <v>0</v>
      </c>
      <c r="Q25" s="15">
        <f t="shared" si="12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 t="shared" si="8"/>
        <v>0</v>
      </c>
      <c r="F26" s="23">
        <f>+SUM(F27:F29)</f>
        <v>0</v>
      </c>
      <c r="G26" s="24">
        <f>SUM(G27:G29)</f>
        <v>0</v>
      </c>
      <c r="H26" s="25">
        <f t="shared" si="0"/>
        <v>0</v>
      </c>
      <c r="I26" s="23">
        <f>+SUM(I27:I29)</f>
        <v>0</v>
      </c>
      <c r="J26" s="24">
        <f>SUM(J27:J29)</f>
        <v>0</v>
      </c>
      <c r="K26" s="25">
        <f t="shared" si="1"/>
        <v>0</v>
      </c>
      <c r="L26" s="23">
        <f>+SUM(L27:L29)</f>
        <v>0</v>
      </c>
      <c r="M26" s="24">
        <f>SUM(M27:M29)</f>
        <v>0</v>
      </c>
      <c r="N26" s="25">
        <f t="shared" si="2"/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 t="shared" si="8"/>
        <v>0</v>
      </c>
      <c r="F27" s="14"/>
      <c r="G27" s="19"/>
      <c r="H27" s="15">
        <f t="shared" si="0"/>
        <v>0</v>
      </c>
      <c r="I27" s="14"/>
      <c r="J27" s="19"/>
      <c r="K27" s="15">
        <f t="shared" si="1"/>
        <v>0</v>
      </c>
      <c r="L27" s="14"/>
      <c r="M27" s="19"/>
      <c r="N27" s="15">
        <f t="shared" si="2"/>
        <v>0</v>
      </c>
      <c r="O27" s="14">
        <f>+C27+F27+I27+L27</f>
        <v>0</v>
      </c>
      <c r="P27" s="19">
        <f>+D27+G27+J27+M27</f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si="8"/>
        <v>0</v>
      </c>
      <c r="F28" s="14"/>
      <c r="G28" s="19"/>
      <c r="H28" s="15">
        <f t="shared" si="0"/>
        <v>0</v>
      </c>
      <c r="I28" s="14"/>
      <c r="J28" s="19"/>
      <c r="K28" s="15">
        <f t="shared" si="1"/>
        <v>0</v>
      </c>
      <c r="L28" s="14"/>
      <c r="M28" s="19"/>
      <c r="N28" s="15">
        <f t="shared" si="2"/>
        <v>0</v>
      </c>
      <c r="O28" s="14">
        <f t="shared" ref="O28:O29" si="13">+C28+F28+I28+L28</f>
        <v>0</v>
      </c>
      <c r="P28" s="19">
        <f t="shared" ref="P28:P29" si="14">+D28+G28+J28+M28</f>
        <v>0</v>
      </c>
      <c r="Q28" s="15">
        <f t="shared" ref="Q28:Q29" si="15">+P28-O28</f>
        <v>0</v>
      </c>
    </row>
    <row r="29" spans="2:17">
      <c r="B29" s="18" t="s">
        <v>60</v>
      </c>
      <c r="C29" s="14"/>
      <c r="D29" s="19"/>
      <c r="E29" s="15">
        <f t="shared" si="8"/>
        <v>0</v>
      </c>
      <c r="F29" s="14"/>
      <c r="G29" s="19"/>
      <c r="H29" s="15">
        <f t="shared" si="0"/>
        <v>0</v>
      </c>
      <c r="I29" s="14"/>
      <c r="J29" s="19"/>
      <c r="K29" s="15">
        <f t="shared" si="1"/>
        <v>0</v>
      </c>
      <c r="L29" s="14"/>
      <c r="M29" s="19"/>
      <c r="N29" s="15">
        <f t="shared" si="2"/>
        <v>0</v>
      </c>
      <c r="O29" s="14">
        <f t="shared" si="13"/>
        <v>0</v>
      </c>
      <c r="P29" s="19">
        <f t="shared" si="14"/>
        <v>0</v>
      </c>
      <c r="Q29" s="15">
        <f t="shared" si="15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 t="shared" si="8"/>
        <v>0</v>
      </c>
      <c r="F30" s="26">
        <f>+F9+F16+F19+F26</f>
        <v>0</v>
      </c>
      <c r="G30" s="27">
        <f>+G9+G16+G19+G26</f>
        <v>0</v>
      </c>
      <c r="H30" s="36">
        <f t="shared" si="0"/>
        <v>0</v>
      </c>
      <c r="I30" s="26">
        <f>+I9+I16+I19+I26</f>
        <v>0</v>
      </c>
      <c r="J30" s="27">
        <f>+J9+J16+J19+J26</f>
        <v>0</v>
      </c>
      <c r="K30" s="36">
        <f t="shared" si="1"/>
        <v>0</v>
      </c>
      <c r="L30" s="26">
        <f>+L9+L16+L19+L26</f>
        <v>0</v>
      </c>
      <c r="M30" s="27">
        <f>+M9+M16+M19+M26</f>
        <v>0</v>
      </c>
      <c r="N30" s="36">
        <f t="shared" si="2"/>
        <v>0</v>
      </c>
      <c r="O30" s="26">
        <f>+O9+O16+O19+O26</f>
        <v>0</v>
      </c>
      <c r="P30" s="27">
        <f>+P9+P16+P19+P26</f>
        <v>0</v>
      </c>
      <c r="Q30" s="36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313" priority="38" operator="lessThan">
      <formula>0</formula>
    </cfRule>
    <cfRule type="cellIs" dxfId="312" priority="39" operator="greaterThan">
      <formula>0</formula>
    </cfRule>
  </conditionalFormatting>
  <conditionalFormatting sqref="Q9:Q29">
    <cfRule type="cellIs" dxfId="311" priority="35" operator="lessThan">
      <formula>0</formula>
    </cfRule>
    <cfRule type="cellIs" dxfId="310" priority="36" operator="greaterThan">
      <formula>0</formula>
    </cfRule>
  </conditionalFormatting>
  <conditionalFormatting sqref="K16:K29">
    <cfRule type="cellIs" dxfId="309" priority="32" operator="lessThan">
      <formula>0</formula>
    </cfRule>
    <cfRule type="cellIs" dxfId="308" priority="33" operator="greaterThan">
      <formula>0</formula>
    </cfRule>
  </conditionalFormatting>
  <conditionalFormatting sqref="H16:H29">
    <cfRule type="cellIs" dxfId="307" priority="29" operator="lessThan">
      <formula>0</formula>
    </cfRule>
    <cfRule type="cellIs" dxfId="306" priority="30" operator="greaterThan">
      <formula>0</formula>
    </cfRule>
  </conditionalFormatting>
  <conditionalFormatting sqref="E9:E29">
    <cfRule type="cellIs" dxfId="305" priority="26" operator="lessThan">
      <formula>0</formula>
    </cfRule>
    <cfRule type="cellIs" dxfId="304" priority="27" operator="greaterThan">
      <formula>0</formula>
    </cfRule>
  </conditionalFormatting>
  <conditionalFormatting sqref="Q30">
    <cfRule type="cellIs" dxfId="303" priority="23" operator="lessThan">
      <formula>0</formula>
    </cfRule>
    <cfRule type="cellIs" dxfId="302" priority="24" operator="greaterThan">
      <formula>0</formula>
    </cfRule>
  </conditionalFormatting>
  <conditionalFormatting sqref="H9">
    <cfRule type="cellIs" dxfId="301" priority="20" operator="lessThan">
      <formula>0</formula>
    </cfRule>
    <cfRule type="cellIs" dxfId="300" priority="21" operator="greaterThan">
      <formula>0</formula>
    </cfRule>
  </conditionalFormatting>
  <conditionalFormatting sqref="H10:H15">
    <cfRule type="cellIs" dxfId="299" priority="17" operator="lessThan">
      <formula>0</formula>
    </cfRule>
    <cfRule type="cellIs" dxfId="298" priority="18" operator="greaterThan">
      <formula>0</formula>
    </cfRule>
  </conditionalFormatting>
  <conditionalFormatting sqref="K10:K15">
    <cfRule type="cellIs" dxfId="297" priority="14" operator="lessThan">
      <formula>0</formula>
    </cfRule>
    <cfRule type="cellIs" dxfId="296" priority="15" operator="greaterThan">
      <formula>0</formula>
    </cfRule>
  </conditionalFormatting>
  <conditionalFormatting sqref="K9">
    <cfRule type="cellIs" dxfId="295" priority="11" operator="lessThan">
      <formula>0</formula>
    </cfRule>
    <cfRule type="cellIs" dxfId="294" priority="12" operator="greaterThan">
      <formula>0</formula>
    </cfRule>
  </conditionalFormatting>
  <conditionalFormatting sqref="K30">
    <cfRule type="cellIs" dxfId="293" priority="8" operator="lessThan">
      <formula>0</formula>
    </cfRule>
    <cfRule type="cellIs" dxfId="292" priority="9" operator="greaterThan">
      <formula>0</formula>
    </cfRule>
  </conditionalFormatting>
  <conditionalFormatting sqref="H30">
    <cfRule type="cellIs" dxfId="291" priority="5" operator="lessThan">
      <formula>0</formula>
    </cfRule>
    <cfRule type="cellIs" dxfId="290" priority="6" operator="greaterThan">
      <formula>0</formula>
    </cfRule>
  </conditionalFormatting>
  <conditionalFormatting sqref="E30">
    <cfRule type="cellIs" dxfId="289" priority="2" operator="lessThan">
      <formula>0</formula>
    </cfRule>
    <cfRule type="cellIs" dxfId="288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C65F2F89-74F1-453E-8916-487B9CE78C8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0EC42CDC-D53C-4771-BCB0-FBC01F7CD98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468530C8-78F6-4553-9CA5-9546A7B97B0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46935490-BB35-4733-8477-9D82D36478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8D9EDC1B-65B6-42E9-9F59-4D31EFEAC3C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F331B667-4B7E-44A8-9B98-8539C549B5A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65C2965F-66F2-443B-94FA-97BBA3E1801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15DB502F-B6F0-4AF3-B9B6-A7043E09C24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65B3BBF2-9D29-473A-801B-47D5EAF74EA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7D7895DB-E695-4B0A-B59D-E4D8B2864D1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302DA235-415D-4A8D-AE0E-FE48A73CF46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E6D52BB7-FFD6-4BED-99F9-8E559A1EC8B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03F092C2-6C5F-47C7-A953-EA2DDA5778E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B7AAF-82F3-4502-BE2A-43C2289D538B}">
  <sheetPr codeName="Sheet9"/>
  <dimension ref="A1:Q38"/>
  <sheetViews>
    <sheetView showGridLines="0" workbookViewId="0">
      <pane xSplit="2" topLeftCell="C1" activePane="topRight" state="frozen"/>
      <selection pane="topRight" activeCell="Q30" sqref="Q30"/>
      <selection activeCell="O27" sqref="O27:P29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61</v>
      </c>
      <c r="C4" s="11"/>
      <c r="D4" s="11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36">
        <f>+M30-L30</f>
        <v>0</v>
      </c>
      <c r="O30" s="26">
        <f>+O9+O16+O19+O26</f>
        <v>0</v>
      </c>
      <c r="P30" s="27">
        <f>+P9+P16+P19+P26</f>
        <v>0</v>
      </c>
      <c r="Q30" s="36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29">
    <cfRule type="cellIs" dxfId="287" priority="44" operator="lessThan">
      <formula>0</formula>
    </cfRule>
    <cfRule type="cellIs" dxfId="286" priority="45" operator="greaterThan">
      <formula>0</formula>
    </cfRule>
  </conditionalFormatting>
  <conditionalFormatting sqref="Q9:Q29">
    <cfRule type="cellIs" dxfId="285" priority="41" operator="lessThan">
      <formula>0</formula>
    </cfRule>
    <cfRule type="cellIs" dxfId="284" priority="42" operator="greaterThan">
      <formula>0</formula>
    </cfRule>
  </conditionalFormatting>
  <conditionalFormatting sqref="K16:K29">
    <cfRule type="cellIs" dxfId="283" priority="38" operator="lessThan">
      <formula>0</formula>
    </cfRule>
    <cfRule type="cellIs" dxfId="282" priority="39" operator="greaterThan">
      <formula>0</formula>
    </cfRule>
  </conditionalFormatting>
  <conditionalFormatting sqref="H16:H29">
    <cfRule type="cellIs" dxfId="281" priority="35" operator="lessThan">
      <formula>0</formula>
    </cfRule>
    <cfRule type="cellIs" dxfId="280" priority="36" operator="greaterThan">
      <formula>0</formula>
    </cfRule>
  </conditionalFormatting>
  <conditionalFormatting sqref="E9:E29">
    <cfRule type="cellIs" dxfId="279" priority="32" operator="lessThan">
      <formula>0</formula>
    </cfRule>
    <cfRule type="cellIs" dxfId="278" priority="33" operator="greaterThan">
      <formula>0</formula>
    </cfRule>
  </conditionalFormatting>
  <conditionalFormatting sqref="H9">
    <cfRule type="cellIs" dxfId="277" priority="26" operator="lessThan">
      <formula>0</formula>
    </cfRule>
    <cfRule type="cellIs" dxfId="276" priority="27" operator="greaterThan">
      <formula>0</formula>
    </cfRule>
  </conditionalFormatting>
  <conditionalFormatting sqref="H10:H15">
    <cfRule type="cellIs" dxfId="275" priority="23" operator="lessThan">
      <formula>0</formula>
    </cfRule>
    <cfRule type="cellIs" dxfId="274" priority="24" operator="greaterThan">
      <formula>0</formula>
    </cfRule>
  </conditionalFormatting>
  <conditionalFormatting sqref="K10:K15">
    <cfRule type="cellIs" dxfId="273" priority="20" operator="lessThan">
      <formula>0</formula>
    </cfRule>
    <cfRule type="cellIs" dxfId="272" priority="21" operator="greaterThan">
      <formula>0</formula>
    </cfRule>
  </conditionalFormatting>
  <conditionalFormatting sqref="K9">
    <cfRule type="cellIs" dxfId="271" priority="17" operator="lessThan">
      <formula>0</formula>
    </cfRule>
    <cfRule type="cellIs" dxfId="270" priority="18" operator="greaterThan">
      <formula>0</formula>
    </cfRule>
  </conditionalFormatting>
  <conditionalFormatting sqref="K30">
    <cfRule type="cellIs" dxfId="269" priority="14" operator="lessThan">
      <formula>0</formula>
    </cfRule>
    <cfRule type="cellIs" dxfId="268" priority="15" operator="greaterThan">
      <formula>0</formula>
    </cfRule>
  </conditionalFormatting>
  <conditionalFormatting sqref="H30">
    <cfRule type="cellIs" dxfId="267" priority="11" operator="lessThan">
      <formula>0</formula>
    </cfRule>
    <cfRule type="cellIs" dxfId="266" priority="12" operator="greaterThan">
      <formula>0</formula>
    </cfRule>
  </conditionalFormatting>
  <conditionalFormatting sqref="E30">
    <cfRule type="cellIs" dxfId="265" priority="8" operator="lessThan">
      <formula>0</formula>
    </cfRule>
    <cfRule type="cellIs" dxfId="264" priority="9" operator="greaterThan">
      <formula>0</formula>
    </cfRule>
  </conditionalFormatting>
  <conditionalFormatting sqref="N30">
    <cfRule type="cellIs" dxfId="263" priority="5" operator="lessThan">
      <formula>0</formula>
    </cfRule>
    <cfRule type="cellIs" dxfId="262" priority="6" operator="greaterThan">
      <formula>0</formula>
    </cfRule>
  </conditionalFormatting>
  <conditionalFormatting sqref="Q30">
    <cfRule type="cellIs" dxfId="261" priority="2" operator="lessThan">
      <formula>0</formula>
    </cfRule>
    <cfRule type="cellIs" dxfId="260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3" id="{391155AC-20FA-4937-BF08-5E8A53A5455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N9:N29</xm:sqref>
        </x14:conditionalFormatting>
        <x14:conditionalFormatting xmlns:xm="http://schemas.microsoft.com/office/excel/2006/main">
          <x14:cfRule type="iconSet" priority="40" id="{FC71CF87-70A1-4E8F-8B04-DF8065C5A87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7" id="{D8ED9D37-A09E-4F82-91FD-75807946B9B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34" id="{43BE1700-A81B-45D4-9703-EF86A7FBE6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31" id="{C45185C5-5B1E-4F45-8FD7-BBEDC04D43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5" id="{7205D641-390C-48C7-8462-96406922610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22" id="{8E9C9ED9-6A67-4E38-9C7F-304B1160CD2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9" id="{15FD8DE1-65E3-400C-AAD1-2B631E8D781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6" id="{99F9A7AE-6EAC-4ACB-8A37-29F34D9D3A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13" id="{66D37B23-6529-45FB-83FA-C0922EC5EDB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10" id="{94B8874B-8801-4EEC-BA76-323EE7BD90F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7" id="{BBAF95D3-D3D4-4056-995D-1C319419461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  <x14:conditionalFormatting xmlns:xm="http://schemas.microsoft.com/office/excel/2006/main">
          <x14:cfRule type="iconSet" priority="4" id="{7F2D15D8-9B3D-4291-80C4-1F57F039688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N30</xm:sqref>
        </x14:conditionalFormatting>
        <x14:conditionalFormatting xmlns:xm="http://schemas.microsoft.com/office/excel/2006/main">
          <x14:cfRule type="iconSet" priority="1" id="{BBF7302E-124B-4CBC-A660-155E957D7A8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6143A-82E0-4ED1-984B-A8C0C8FDAD41}">
  <sheetPr codeName="Sheet10"/>
  <dimension ref="A1:Q38"/>
  <sheetViews>
    <sheetView showGridLines="0" workbookViewId="0">
      <pane xSplit="2" topLeftCell="C1" activePane="topRight" state="frozen"/>
      <selection pane="topRight" activeCell="Q30" sqref="J30:Q30"/>
      <selection activeCell="O27" sqref="O27:P29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62</v>
      </c>
      <c r="C4" s="11"/>
      <c r="D4" s="11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36">
        <f>+M30-L30</f>
        <v>0</v>
      </c>
      <c r="O30" s="26">
        <f>+O9+O16+O19+O26</f>
        <v>0</v>
      </c>
      <c r="P30" s="27">
        <f>+P9+P16+P19+P26</f>
        <v>0</v>
      </c>
      <c r="Q30" s="36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259" priority="38" operator="lessThan">
      <formula>0</formula>
    </cfRule>
    <cfRule type="cellIs" dxfId="258" priority="39" operator="greaterThan">
      <formula>0</formula>
    </cfRule>
  </conditionalFormatting>
  <conditionalFormatting sqref="Q9:Q29">
    <cfRule type="cellIs" dxfId="257" priority="35" operator="lessThan">
      <formula>0</formula>
    </cfRule>
    <cfRule type="cellIs" dxfId="256" priority="36" operator="greaterThan">
      <formula>0</formula>
    </cfRule>
  </conditionalFormatting>
  <conditionalFormatting sqref="K16:K29">
    <cfRule type="cellIs" dxfId="255" priority="32" operator="lessThan">
      <formula>0</formula>
    </cfRule>
    <cfRule type="cellIs" dxfId="254" priority="33" operator="greaterThan">
      <formula>0</formula>
    </cfRule>
  </conditionalFormatting>
  <conditionalFormatting sqref="H16:H29">
    <cfRule type="cellIs" dxfId="253" priority="29" operator="lessThan">
      <formula>0</formula>
    </cfRule>
    <cfRule type="cellIs" dxfId="252" priority="30" operator="greaterThan">
      <formula>0</formula>
    </cfRule>
  </conditionalFormatting>
  <conditionalFormatting sqref="E9:E29">
    <cfRule type="cellIs" dxfId="251" priority="26" operator="lessThan">
      <formula>0</formula>
    </cfRule>
    <cfRule type="cellIs" dxfId="250" priority="27" operator="greaterThan">
      <formula>0</formula>
    </cfRule>
  </conditionalFormatting>
  <conditionalFormatting sqref="Q30">
    <cfRule type="cellIs" dxfId="249" priority="23" operator="lessThan">
      <formula>0</formula>
    </cfRule>
    <cfRule type="cellIs" dxfId="248" priority="24" operator="greaterThan">
      <formula>0</formula>
    </cfRule>
  </conditionalFormatting>
  <conditionalFormatting sqref="H9">
    <cfRule type="cellIs" dxfId="247" priority="20" operator="lessThan">
      <formula>0</formula>
    </cfRule>
    <cfRule type="cellIs" dxfId="246" priority="21" operator="greaterThan">
      <formula>0</formula>
    </cfRule>
  </conditionalFormatting>
  <conditionalFormatting sqref="H10:H15">
    <cfRule type="cellIs" dxfId="245" priority="17" operator="lessThan">
      <formula>0</formula>
    </cfRule>
    <cfRule type="cellIs" dxfId="244" priority="18" operator="greaterThan">
      <formula>0</formula>
    </cfRule>
  </conditionalFormatting>
  <conditionalFormatting sqref="K10:K15">
    <cfRule type="cellIs" dxfId="243" priority="14" operator="lessThan">
      <formula>0</formula>
    </cfRule>
    <cfRule type="cellIs" dxfId="242" priority="15" operator="greaterThan">
      <formula>0</formula>
    </cfRule>
  </conditionalFormatting>
  <conditionalFormatting sqref="K9">
    <cfRule type="cellIs" dxfId="241" priority="11" operator="lessThan">
      <formula>0</formula>
    </cfRule>
    <cfRule type="cellIs" dxfId="240" priority="12" operator="greaterThan">
      <formula>0</formula>
    </cfRule>
  </conditionalFormatting>
  <conditionalFormatting sqref="K30">
    <cfRule type="cellIs" dxfId="239" priority="8" operator="lessThan">
      <formula>0</formula>
    </cfRule>
    <cfRule type="cellIs" dxfId="238" priority="9" operator="greaterThan">
      <formula>0</formula>
    </cfRule>
  </conditionalFormatting>
  <conditionalFormatting sqref="H30">
    <cfRule type="cellIs" dxfId="237" priority="5" operator="lessThan">
      <formula>0</formula>
    </cfRule>
    <cfRule type="cellIs" dxfId="236" priority="6" operator="greaterThan">
      <formula>0</formula>
    </cfRule>
  </conditionalFormatting>
  <conditionalFormatting sqref="E30">
    <cfRule type="cellIs" dxfId="235" priority="2" operator="lessThan">
      <formula>0</formula>
    </cfRule>
    <cfRule type="cellIs" dxfId="234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B52A4AA7-0748-4D7E-9DF4-41A837D76F4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BA7F42D5-352A-4B6F-BE28-9A9A31EA910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E2CF01F0-948A-4332-BE18-8D034EDBF7E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7EBBAD8C-BDB3-4321-95EE-8ED45D19223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F22C8449-DCB2-4699-8185-24DA83FD8FD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BC5B8414-035A-4EF3-8D2A-B55EF907DFE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353EAAB0-05FC-477D-9B46-02C6C81B4F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B57767C4-1A5E-4E5C-B848-7240FF664DE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877A4AEE-485D-4536-9355-6542A97E43D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356C3673-0B35-429E-BDD8-5837B0A255D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8C4A146E-0038-499F-BE7F-FF4013F57C0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3CD629C4-FF57-476E-9BBA-B8677293751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55731601-7D50-44EB-B302-59D90EBF420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48514-B3F9-4628-A4F8-F138F079957B}">
  <sheetPr codeName="Sheet11"/>
  <dimension ref="A1:Q38"/>
  <sheetViews>
    <sheetView showGridLines="0" workbookViewId="0">
      <pane xSplit="2" topLeftCell="E1" activePane="topRight" state="frozen"/>
      <selection pane="topRight" activeCell="K23" sqref="K23"/>
      <selection activeCell="O27" sqref="O27:P29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63</v>
      </c>
      <c r="C4" s="11"/>
      <c r="D4" s="11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36">
        <f>+M30-L30</f>
        <v>0</v>
      </c>
      <c r="O30" s="26">
        <f>+O9+O16+O19+O26</f>
        <v>0</v>
      </c>
      <c r="P30" s="27">
        <f>+P9+P16+P19+P26</f>
        <v>0</v>
      </c>
      <c r="Q30" s="36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233" priority="38" operator="lessThan">
      <formula>0</formula>
    </cfRule>
    <cfRule type="cellIs" dxfId="232" priority="39" operator="greaterThan">
      <formula>0</formula>
    </cfRule>
  </conditionalFormatting>
  <conditionalFormatting sqref="Q9:Q29">
    <cfRule type="cellIs" dxfId="231" priority="35" operator="lessThan">
      <formula>0</formula>
    </cfRule>
    <cfRule type="cellIs" dxfId="230" priority="36" operator="greaterThan">
      <formula>0</formula>
    </cfRule>
  </conditionalFormatting>
  <conditionalFormatting sqref="K16:K29">
    <cfRule type="cellIs" dxfId="229" priority="32" operator="lessThan">
      <formula>0</formula>
    </cfRule>
    <cfRule type="cellIs" dxfId="228" priority="33" operator="greaterThan">
      <formula>0</formula>
    </cfRule>
  </conditionalFormatting>
  <conditionalFormatting sqref="H16:H29">
    <cfRule type="cellIs" dxfId="227" priority="29" operator="lessThan">
      <formula>0</formula>
    </cfRule>
    <cfRule type="cellIs" dxfId="226" priority="30" operator="greaterThan">
      <formula>0</formula>
    </cfRule>
  </conditionalFormatting>
  <conditionalFormatting sqref="E9:E29">
    <cfRule type="cellIs" dxfId="225" priority="26" operator="lessThan">
      <formula>0</formula>
    </cfRule>
    <cfRule type="cellIs" dxfId="224" priority="27" operator="greaterThan">
      <formula>0</formula>
    </cfRule>
  </conditionalFormatting>
  <conditionalFormatting sqref="Q30">
    <cfRule type="cellIs" dxfId="223" priority="23" operator="lessThan">
      <formula>0</formula>
    </cfRule>
    <cfRule type="cellIs" dxfId="222" priority="24" operator="greaterThan">
      <formula>0</formula>
    </cfRule>
  </conditionalFormatting>
  <conditionalFormatting sqref="H9">
    <cfRule type="cellIs" dxfId="221" priority="20" operator="lessThan">
      <formula>0</formula>
    </cfRule>
    <cfRule type="cellIs" dxfId="220" priority="21" operator="greaterThan">
      <formula>0</formula>
    </cfRule>
  </conditionalFormatting>
  <conditionalFormatting sqref="H10:H15">
    <cfRule type="cellIs" dxfId="219" priority="17" operator="lessThan">
      <formula>0</formula>
    </cfRule>
    <cfRule type="cellIs" dxfId="218" priority="18" operator="greaterThan">
      <formula>0</formula>
    </cfRule>
  </conditionalFormatting>
  <conditionalFormatting sqref="K10:K15">
    <cfRule type="cellIs" dxfId="217" priority="14" operator="lessThan">
      <formula>0</formula>
    </cfRule>
    <cfRule type="cellIs" dxfId="216" priority="15" operator="greaterThan">
      <formula>0</formula>
    </cfRule>
  </conditionalFormatting>
  <conditionalFormatting sqref="K9">
    <cfRule type="cellIs" dxfId="215" priority="11" operator="lessThan">
      <formula>0</formula>
    </cfRule>
    <cfRule type="cellIs" dxfId="214" priority="12" operator="greaterThan">
      <formula>0</formula>
    </cfRule>
  </conditionalFormatting>
  <conditionalFormatting sqref="K30">
    <cfRule type="cellIs" dxfId="213" priority="8" operator="lessThan">
      <formula>0</formula>
    </cfRule>
    <cfRule type="cellIs" dxfId="212" priority="9" operator="greaterThan">
      <formula>0</formula>
    </cfRule>
  </conditionalFormatting>
  <conditionalFormatting sqref="H30">
    <cfRule type="cellIs" dxfId="211" priority="5" operator="lessThan">
      <formula>0</formula>
    </cfRule>
    <cfRule type="cellIs" dxfId="210" priority="6" operator="greaterThan">
      <formula>0</formula>
    </cfRule>
  </conditionalFormatting>
  <conditionalFormatting sqref="E30">
    <cfRule type="cellIs" dxfId="209" priority="2" operator="lessThan">
      <formula>0</formula>
    </cfRule>
    <cfRule type="cellIs" dxfId="208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C679B98B-F3B3-407E-B1F5-8046C19A2F4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B2A89203-05B4-456C-BCDD-56055B0990C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93F45560-7FA8-45F2-A672-14940B70EE5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4AC7111C-C694-463A-855B-335010AEBE0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AEC9DC8C-EF99-4145-BE1E-CA1E0CA9D13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D71ED01D-CB02-4F3A-AEA8-8DAF07203CF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EE8E947A-2082-4A86-A249-4458F0E0202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06D14C9D-2AE8-4AB8-8B5A-7F79C2FCC2D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D6A143A1-E002-42F2-B992-02147534D2D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E93B5DC5-09D4-4AE1-9718-1D2D9973B54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6FCC5C4F-284A-488B-B825-B2DCAB6E94A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7EAF3A02-2247-402E-BD18-C124E6D9A75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1CE4C4ED-EC01-491D-8965-FB293146058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AC3AA-41CB-47F8-84A7-10297A703B21}">
  <sheetPr codeName="Sheet6"/>
  <dimension ref="A1:Q38"/>
  <sheetViews>
    <sheetView showGridLines="0" workbookViewId="0">
      <pane xSplit="2" topLeftCell="E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19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207" priority="38" operator="lessThan">
      <formula>0</formula>
    </cfRule>
    <cfRule type="cellIs" dxfId="206" priority="39" operator="greaterThan">
      <formula>0</formula>
    </cfRule>
  </conditionalFormatting>
  <conditionalFormatting sqref="Q9:Q29">
    <cfRule type="cellIs" dxfId="205" priority="35" operator="lessThan">
      <formula>0</formula>
    </cfRule>
    <cfRule type="cellIs" dxfId="204" priority="36" operator="greaterThan">
      <formula>0</formula>
    </cfRule>
  </conditionalFormatting>
  <conditionalFormatting sqref="K16:K29">
    <cfRule type="cellIs" dxfId="203" priority="32" operator="lessThan">
      <formula>0</formula>
    </cfRule>
    <cfRule type="cellIs" dxfId="202" priority="33" operator="greaterThan">
      <formula>0</formula>
    </cfRule>
  </conditionalFormatting>
  <conditionalFormatting sqref="H16:H29">
    <cfRule type="cellIs" dxfId="201" priority="29" operator="lessThan">
      <formula>0</formula>
    </cfRule>
    <cfRule type="cellIs" dxfId="200" priority="30" operator="greaterThan">
      <formula>0</formula>
    </cfRule>
  </conditionalFormatting>
  <conditionalFormatting sqref="E9:E29">
    <cfRule type="cellIs" dxfId="199" priority="26" operator="lessThan">
      <formula>0</formula>
    </cfRule>
    <cfRule type="cellIs" dxfId="198" priority="27" operator="greaterThan">
      <formula>0</formula>
    </cfRule>
  </conditionalFormatting>
  <conditionalFormatting sqref="Q30">
    <cfRule type="cellIs" dxfId="197" priority="23" operator="lessThan">
      <formula>0</formula>
    </cfRule>
    <cfRule type="cellIs" dxfId="196" priority="24" operator="greaterThan">
      <formula>0</formula>
    </cfRule>
  </conditionalFormatting>
  <conditionalFormatting sqref="H9">
    <cfRule type="cellIs" dxfId="195" priority="20" operator="lessThan">
      <formula>0</formula>
    </cfRule>
    <cfRule type="cellIs" dxfId="194" priority="21" operator="greaterThan">
      <formula>0</formula>
    </cfRule>
  </conditionalFormatting>
  <conditionalFormatting sqref="H10:H15">
    <cfRule type="cellIs" dxfId="193" priority="17" operator="lessThan">
      <formula>0</formula>
    </cfRule>
    <cfRule type="cellIs" dxfId="192" priority="18" operator="greaterThan">
      <formula>0</formula>
    </cfRule>
  </conditionalFormatting>
  <conditionalFormatting sqref="K10:K15">
    <cfRule type="cellIs" dxfId="191" priority="14" operator="lessThan">
      <formula>0</formula>
    </cfRule>
    <cfRule type="cellIs" dxfId="190" priority="15" operator="greaterThan">
      <formula>0</formula>
    </cfRule>
  </conditionalFormatting>
  <conditionalFormatting sqref="K9">
    <cfRule type="cellIs" dxfId="189" priority="11" operator="lessThan">
      <formula>0</formula>
    </cfRule>
    <cfRule type="cellIs" dxfId="188" priority="12" operator="greaterThan">
      <formula>0</formula>
    </cfRule>
  </conditionalFormatting>
  <conditionalFormatting sqref="K30">
    <cfRule type="cellIs" dxfId="187" priority="8" operator="lessThan">
      <formula>0</formula>
    </cfRule>
    <cfRule type="cellIs" dxfId="186" priority="9" operator="greaterThan">
      <formula>0</formula>
    </cfRule>
  </conditionalFormatting>
  <conditionalFormatting sqref="H30">
    <cfRule type="cellIs" dxfId="185" priority="5" operator="lessThan">
      <formula>0</formula>
    </cfRule>
    <cfRule type="cellIs" dxfId="184" priority="6" operator="greaterThan">
      <formula>0</formula>
    </cfRule>
  </conditionalFormatting>
  <conditionalFormatting sqref="E30">
    <cfRule type="cellIs" dxfId="183" priority="2" operator="lessThan">
      <formula>0</formula>
    </cfRule>
    <cfRule type="cellIs" dxfId="182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0035F5EC-3BE7-46C1-9633-10E830828FA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DF28C9F3-C67F-4F55-8D88-547EB2A44E0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1D4FCD7C-19F2-4ED0-BC06-AD6ACE523DC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EDC82555-92E9-4F35-9493-07F0C943194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9D3A6430-813D-4A3D-9219-A2E14A5EAE8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E4B231A9-6C5D-43AB-9E9D-DEF2B50F6C6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4CB996C3-0B2E-42A8-A827-B2158BE32B6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76B76925-F481-4ABF-B043-6D25FDF709D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0BDCFF6C-12AF-487C-8088-6BFD92D6E69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607BE80A-7966-4633-99BB-A9D3F76ED2C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58098971-6795-47AC-A420-B359F4B719B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092707C4-F320-47EE-8739-84A2CC752A0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1236F63F-48AD-4F2B-A928-62075D86FC1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23D40-BDC9-46D4-A790-BEAF9FA6EAB5}">
  <sheetPr codeName="Sheet7"/>
  <dimension ref="A1:Q38"/>
  <sheetViews>
    <sheetView showGridLines="0" workbookViewId="0">
      <pane xSplit="2" topLeftCell="E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64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181" priority="38" operator="lessThan">
      <formula>0</formula>
    </cfRule>
    <cfRule type="cellIs" dxfId="180" priority="39" operator="greaterThan">
      <formula>0</formula>
    </cfRule>
  </conditionalFormatting>
  <conditionalFormatting sqref="Q9:Q29">
    <cfRule type="cellIs" dxfId="179" priority="35" operator="lessThan">
      <formula>0</formula>
    </cfRule>
    <cfRule type="cellIs" dxfId="178" priority="36" operator="greaterThan">
      <formula>0</formula>
    </cfRule>
  </conditionalFormatting>
  <conditionalFormatting sqref="K16:K29">
    <cfRule type="cellIs" dxfId="177" priority="32" operator="lessThan">
      <formula>0</formula>
    </cfRule>
    <cfRule type="cellIs" dxfId="176" priority="33" operator="greaterThan">
      <formula>0</formula>
    </cfRule>
  </conditionalFormatting>
  <conditionalFormatting sqref="H16:H29">
    <cfRule type="cellIs" dxfId="175" priority="29" operator="lessThan">
      <formula>0</formula>
    </cfRule>
    <cfRule type="cellIs" dxfId="174" priority="30" operator="greaterThan">
      <formula>0</formula>
    </cfRule>
  </conditionalFormatting>
  <conditionalFormatting sqref="E9:E29">
    <cfRule type="cellIs" dxfId="173" priority="26" operator="lessThan">
      <formula>0</formula>
    </cfRule>
    <cfRule type="cellIs" dxfId="172" priority="27" operator="greaterThan">
      <formula>0</formula>
    </cfRule>
  </conditionalFormatting>
  <conditionalFormatting sqref="Q30">
    <cfRule type="cellIs" dxfId="171" priority="23" operator="lessThan">
      <formula>0</formula>
    </cfRule>
    <cfRule type="cellIs" dxfId="170" priority="24" operator="greaterThan">
      <formula>0</formula>
    </cfRule>
  </conditionalFormatting>
  <conditionalFormatting sqref="H9">
    <cfRule type="cellIs" dxfId="169" priority="20" operator="lessThan">
      <formula>0</formula>
    </cfRule>
    <cfRule type="cellIs" dxfId="168" priority="21" operator="greaterThan">
      <formula>0</formula>
    </cfRule>
  </conditionalFormatting>
  <conditionalFormatting sqref="H10:H15">
    <cfRule type="cellIs" dxfId="167" priority="17" operator="lessThan">
      <formula>0</formula>
    </cfRule>
    <cfRule type="cellIs" dxfId="166" priority="18" operator="greaterThan">
      <formula>0</formula>
    </cfRule>
  </conditionalFormatting>
  <conditionalFormatting sqref="K10:K15">
    <cfRule type="cellIs" dxfId="165" priority="14" operator="lessThan">
      <formula>0</formula>
    </cfRule>
    <cfRule type="cellIs" dxfId="164" priority="15" operator="greaterThan">
      <formula>0</formula>
    </cfRule>
  </conditionalFormatting>
  <conditionalFormatting sqref="K9">
    <cfRule type="cellIs" dxfId="163" priority="11" operator="lessThan">
      <formula>0</formula>
    </cfRule>
    <cfRule type="cellIs" dxfId="162" priority="12" operator="greaterThan">
      <formula>0</formula>
    </cfRule>
  </conditionalFormatting>
  <conditionalFormatting sqref="K30">
    <cfRule type="cellIs" dxfId="161" priority="8" operator="lessThan">
      <formula>0</formula>
    </cfRule>
    <cfRule type="cellIs" dxfId="160" priority="9" operator="greaterThan">
      <formula>0</formula>
    </cfRule>
  </conditionalFormatting>
  <conditionalFormatting sqref="H30">
    <cfRule type="cellIs" dxfId="159" priority="5" operator="lessThan">
      <formula>0</formula>
    </cfRule>
    <cfRule type="cellIs" dxfId="158" priority="6" operator="greaterThan">
      <formula>0</formula>
    </cfRule>
  </conditionalFormatting>
  <conditionalFormatting sqref="E30">
    <cfRule type="cellIs" dxfId="157" priority="2" operator="lessThan">
      <formula>0</formula>
    </cfRule>
    <cfRule type="cellIs" dxfId="156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8297A4E9-3BD4-4B82-9AA7-865734C18A1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D260EEFA-5E25-45DA-9FD3-94932C5D3A0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78B63828-4C07-4C56-999C-7A087E54597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ADBCA264-658B-413D-A76D-C8DE5EF9360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C70C4247-0648-428A-B552-00414846783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C9E3D0DF-1940-42DE-9AC6-4C48ACB9AE4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60AF810A-FB1F-4580-A0E3-9BA615365D0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2CF87D4C-AEDD-4B43-857F-B4BF17EE792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CF8D5332-417E-42E7-B67C-B93C110505B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EE5BDB00-55A0-4E5F-9CE9-AB7E65C8E19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D9E43D7F-33B9-4173-B937-807BA1DE368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00B8B9FD-B710-435A-B031-ACA46433109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8C364E99-70F5-4E67-A046-73FDA6F1FA4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9D18-0C2D-4D76-A3F4-E23D05244F7C}">
  <sheetPr codeName="Sheet5"/>
  <dimension ref="A1:Q38"/>
  <sheetViews>
    <sheetView showGridLines="0" workbookViewId="0">
      <pane xSplit="2" topLeftCell="C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65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155" priority="38" operator="lessThan">
      <formula>0</formula>
    </cfRule>
    <cfRule type="cellIs" dxfId="154" priority="39" operator="greaterThan">
      <formula>0</formula>
    </cfRule>
  </conditionalFormatting>
  <conditionalFormatting sqref="Q9:Q29">
    <cfRule type="cellIs" dxfId="153" priority="35" operator="lessThan">
      <formula>0</formula>
    </cfRule>
    <cfRule type="cellIs" dxfId="152" priority="36" operator="greaterThan">
      <formula>0</formula>
    </cfRule>
  </conditionalFormatting>
  <conditionalFormatting sqref="K16:K29">
    <cfRule type="cellIs" dxfId="151" priority="32" operator="lessThan">
      <formula>0</formula>
    </cfRule>
    <cfRule type="cellIs" dxfId="150" priority="33" operator="greaterThan">
      <formula>0</formula>
    </cfRule>
  </conditionalFormatting>
  <conditionalFormatting sqref="H16:H29">
    <cfRule type="cellIs" dxfId="149" priority="29" operator="lessThan">
      <formula>0</formula>
    </cfRule>
    <cfRule type="cellIs" dxfId="148" priority="30" operator="greaterThan">
      <formula>0</formula>
    </cfRule>
  </conditionalFormatting>
  <conditionalFormatting sqref="E9:E29">
    <cfRule type="cellIs" dxfId="147" priority="26" operator="lessThan">
      <formula>0</formula>
    </cfRule>
    <cfRule type="cellIs" dxfId="146" priority="27" operator="greaterThan">
      <formula>0</formula>
    </cfRule>
  </conditionalFormatting>
  <conditionalFormatting sqref="Q30">
    <cfRule type="cellIs" dxfId="145" priority="23" operator="lessThan">
      <formula>0</formula>
    </cfRule>
    <cfRule type="cellIs" dxfId="144" priority="24" operator="greaterThan">
      <formula>0</formula>
    </cfRule>
  </conditionalFormatting>
  <conditionalFormatting sqref="H9">
    <cfRule type="cellIs" dxfId="143" priority="20" operator="lessThan">
      <formula>0</formula>
    </cfRule>
    <cfRule type="cellIs" dxfId="142" priority="21" operator="greaterThan">
      <formula>0</formula>
    </cfRule>
  </conditionalFormatting>
  <conditionalFormatting sqref="H10:H15">
    <cfRule type="cellIs" dxfId="141" priority="17" operator="lessThan">
      <formula>0</formula>
    </cfRule>
    <cfRule type="cellIs" dxfId="140" priority="18" operator="greaterThan">
      <formula>0</formula>
    </cfRule>
  </conditionalFormatting>
  <conditionalFormatting sqref="K10:K15">
    <cfRule type="cellIs" dxfId="139" priority="14" operator="lessThan">
      <formula>0</formula>
    </cfRule>
    <cfRule type="cellIs" dxfId="138" priority="15" operator="greaterThan">
      <formula>0</formula>
    </cfRule>
  </conditionalFormatting>
  <conditionalFormatting sqref="K9">
    <cfRule type="cellIs" dxfId="137" priority="11" operator="lessThan">
      <formula>0</formula>
    </cfRule>
    <cfRule type="cellIs" dxfId="136" priority="12" operator="greaterThan">
      <formula>0</formula>
    </cfRule>
  </conditionalFormatting>
  <conditionalFormatting sqref="K30">
    <cfRule type="cellIs" dxfId="135" priority="8" operator="lessThan">
      <formula>0</formula>
    </cfRule>
    <cfRule type="cellIs" dxfId="134" priority="9" operator="greaterThan">
      <formula>0</formula>
    </cfRule>
  </conditionalFormatting>
  <conditionalFormatting sqref="H30">
    <cfRule type="cellIs" dxfId="133" priority="5" operator="lessThan">
      <formula>0</formula>
    </cfRule>
    <cfRule type="cellIs" dxfId="132" priority="6" operator="greaterThan">
      <formula>0</formula>
    </cfRule>
  </conditionalFormatting>
  <conditionalFormatting sqref="E30">
    <cfRule type="cellIs" dxfId="131" priority="2" operator="lessThan">
      <formula>0</formula>
    </cfRule>
    <cfRule type="cellIs" dxfId="130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F16A89B2-C627-45C7-9D3D-5662FAD21BF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E05BAD8C-92D4-4D4E-A01C-7C5BA5B7DF1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B872CA99-4C30-41E1-AE85-5D47BDE6840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AE5B3B2B-EBF0-4668-8713-53B601D9626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BAF7E178-1974-4A29-9D76-2204E4A9EB4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89A48488-D8D3-42B2-A5BC-7EA127DDE82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5BD23411-E231-429A-A142-B96A078C067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863DAB34-2C97-4433-B327-F9D209B7C8B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67626E9E-FBBA-4EC1-A117-E093A6653E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C815E28F-57F5-4C3B-B6A7-01530149027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59862C8F-B5B6-4CB1-B14E-BCCC045F6F5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4E1B4C76-71CC-45BC-BE91-05B12A7CDDE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41CFDBE5-7115-4E29-AC65-9E4906128D5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38AF-6B85-46EF-87B5-9BE88F113FF1}">
  <sheetPr codeName="Sheet4"/>
  <dimension ref="A1:Q38"/>
  <sheetViews>
    <sheetView showGridLines="0" workbookViewId="0">
      <pane xSplit="2" topLeftCell="C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66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129" priority="38" operator="lessThan">
      <formula>0</formula>
    </cfRule>
    <cfRule type="cellIs" dxfId="128" priority="39" operator="greaterThan">
      <formula>0</formula>
    </cfRule>
  </conditionalFormatting>
  <conditionalFormatting sqref="Q9:Q29">
    <cfRule type="cellIs" dxfId="127" priority="35" operator="lessThan">
      <formula>0</formula>
    </cfRule>
    <cfRule type="cellIs" dxfId="126" priority="36" operator="greaterThan">
      <formula>0</formula>
    </cfRule>
  </conditionalFormatting>
  <conditionalFormatting sqref="K16:K29">
    <cfRule type="cellIs" dxfId="125" priority="32" operator="lessThan">
      <formula>0</formula>
    </cfRule>
    <cfRule type="cellIs" dxfId="124" priority="33" operator="greaterThan">
      <formula>0</formula>
    </cfRule>
  </conditionalFormatting>
  <conditionalFormatting sqref="H16:H29">
    <cfRule type="cellIs" dxfId="123" priority="29" operator="lessThan">
      <formula>0</formula>
    </cfRule>
    <cfRule type="cellIs" dxfId="122" priority="30" operator="greaterThan">
      <formula>0</formula>
    </cfRule>
  </conditionalFormatting>
  <conditionalFormatting sqref="E9:E29">
    <cfRule type="cellIs" dxfId="121" priority="26" operator="lessThan">
      <formula>0</formula>
    </cfRule>
    <cfRule type="cellIs" dxfId="120" priority="27" operator="greaterThan">
      <formula>0</formula>
    </cfRule>
  </conditionalFormatting>
  <conditionalFormatting sqref="Q30">
    <cfRule type="cellIs" dxfId="119" priority="23" operator="lessThan">
      <formula>0</formula>
    </cfRule>
    <cfRule type="cellIs" dxfId="118" priority="24" operator="greaterThan">
      <formula>0</formula>
    </cfRule>
  </conditionalFormatting>
  <conditionalFormatting sqref="H9">
    <cfRule type="cellIs" dxfId="117" priority="20" operator="lessThan">
      <formula>0</formula>
    </cfRule>
    <cfRule type="cellIs" dxfId="116" priority="21" operator="greaterThan">
      <formula>0</formula>
    </cfRule>
  </conditionalFormatting>
  <conditionalFormatting sqref="H10:H15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K10:K15">
    <cfRule type="cellIs" dxfId="113" priority="14" operator="lessThan">
      <formula>0</formula>
    </cfRule>
    <cfRule type="cellIs" dxfId="112" priority="15" operator="greaterThan">
      <formula>0</formula>
    </cfRule>
  </conditionalFormatting>
  <conditionalFormatting sqref="K9">
    <cfRule type="cellIs" dxfId="111" priority="11" operator="lessThan">
      <formula>0</formula>
    </cfRule>
    <cfRule type="cellIs" dxfId="110" priority="12" operator="greaterThan">
      <formula>0</formula>
    </cfRule>
  </conditionalFormatting>
  <conditionalFormatting sqref="K30">
    <cfRule type="cellIs" dxfId="109" priority="8" operator="lessThan">
      <formula>0</formula>
    </cfRule>
    <cfRule type="cellIs" dxfId="108" priority="9" operator="greaterThan">
      <formula>0</formula>
    </cfRule>
  </conditionalFormatting>
  <conditionalFormatting sqref="H30">
    <cfRule type="cellIs" dxfId="107" priority="5" operator="lessThan">
      <formula>0</formula>
    </cfRule>
    <cfRule type="cellIs" dxfId="106" priority="6" operator="greaterThan">
      <formula>0</formula>
    </cfRule>
  </conditionalFormatting>
  <conditionalFormatting sqref="E30">
    <cfRule type="cellIs" dxfId="105" priority="2" operator="lessThan">
      <formula>0</formula>
    </cfRule>
    <cfRule type="cellIs" dxfId="104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DDE03F68-B8FB-4840-A506-2D2CA282875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DF7EAAE1-3E83-40A9-A42D-53ADB4A617B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921930A3-BCD6-4495-8F2B-32E0F49D092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EADE8D1E-7D16-4496-85DD-CCA79DE6C5A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6ABE3472-D695-4374-B3B5-A3AC2520BC7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CB7DA542-6DDB-4C55-B459-1BCFC2F3259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2A97C0EE-43DB-4D27-B6C8-E0246AF9F00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208515E1-5B10-4708-9EE5-38E56131453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329CFA97-568F-49DA-BE66-A3E272A5B3A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A03A2E85-D4B5-4BBC-8946-49660FD7EA0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42ADB86D-0C4D-46AE-B480-C381F5F76BA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59CDBFE8-564A-4F8C-B544-D8F16588715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E1B5654F-A005-4EE1-8524-D5EA7BB7FE5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D10DF-4382-4A91-A07A-404512F0CA43}">
  <sheetPr codeName="Sheet12"/>
  <dimension ref="A1:Q38"/>
  <sheetViews>
    <sheetView showGridLines="0" workbookViewId="0">
      <pane xSplit="2" topLeftCell="E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67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103" priority="38" operator="lessThan">
      <formula>0</formula>
    </cfRule>
    <cfRule type="cellIs" dxfId="102" priority="39" operator="greaterThan">
      <formula>0</formula>
    </cfRule>
  </conditionalFormatting>
  <conditionalFormatting sqref="Q9:Q29">
    <cfRule type="cellIs" dxfId="101" priority="35" operator="lessThan">
      <formula>0</formula>
    </cfRule>
    <cfRule type="cellIs" dxfId="100" priority="36" operator="greaterThan">
      <formula>0</formula>
    </cfRule>
  </conditionalFormatting>
  <conditionalFormatting sqref="K16:K29">
    <cfRule type="cellIs" dxfId="99" priority="32" operator="lessThan">
      <formula>0</formula>
    </cfRule>
    <cfRule type="cellIs" dxfId="98" priority="33" operator="greaterThan">
      <formula>0</formula>
    </cfRule>
  </conditionalFormatting>
  <conditionalFormatting sqref="H16:H29">
    <cfRule type="cellIs" dxfId="97" priority="29" operator="lessThan">
      <formula>0</formula>
    </cfRule>
    <cfRule type="cellIs" dxfId="96" priority="30" operator="greaterThan">
      <formula>0</formula>
    </cfRule>
  </conditionalFormatting>
  <conditionalFormatting sqref="E9:E29">
    <cfRule type="cellIs" dxfId="95" priority="26" operator="lessThan">
      <formula>0</formula>
    </cfRule>
    <cfRule type="cellIs" dxfId="94" priority="27" operator="greaterThan">
      <formula>0</formula>
    </cfRule>
  </conditionalFormatting>
  <conditionalFormatting sqref="Q30">
    <cfRule type="cellIs" dxfId="93" priority="23" operator="lessThan">
      <formula>0</formula>
    </cfRule>
    <cfRule type="cellIs" dxfId="92" priority="24" operator="greaterThan">
      <formula>0</formula>
    </cfRule>
  </conditionalFormatting>
  <conditionalFormatting sqref="H9">
    <cfRule type="cellIs" dxfId="91" priority="20" operator="lessThan">
      <formula>0</formula>
    </cfRule>
    <cfRule type="cellIs" dxfId="90" priority="21" operator="greaterThan">
      <formula>0</formula>
    </cfRule>
  </conditionalFormatting>
  <conditionalFormatting sqref="H10:H15">
    <cfRule type="cellIs" dxfId="89" priority="17" operator="lessThan">
      <formula>0</formula>
    </cfRule>
    <cfRule type="cellIs" dxfId="88" priority="18" operator="greaterThan">
      <formula>0</formula>
    </cfRule>
  </conditionalFormatting>
  <conditionalFormatting sqref="K10:K15">
    <cfRule type="cellIs" dxfId="87" priority="14" operator="lessThan">
      <formula>0</formula>
    </cfRule>
    <cfRule type="cellIs" dxfId="86" priority="15" operator="greaterThan">
      <formula>0</formula>
    </cfRule>
  </conditionalFormatting>
  <conditionalFormatting sqref="K9">
    <cfRule type="cellIs" dxfId="85" priority="11" operator="lessThan">
      <formula>0</formula>
    </cfRule>
    <cfRule type="cellIs" dxfId="84" priority="12" operator="greaterThan">
      <formula>0</formula>
    </cfRule>
  </conditionalFormatting>
  <conditionalFormatting sqref="K30">
    <cfRule type="cellIs" dxfId="83" priority="8" operator="lessThan">
      <formula>0</formula>
    </cfRule>
    <cfRule type="cellIs" dxfId="82" priority="9" operator="greaterThan">
      <formula>0</formula>
    </cfRule>
  </conditionalFormatting>
  <conditionalFormatting sqref="H30">
    <cfRule type="cellIs" dxfId="81" priority="5" operator="lessThan">
      <formula>0</formula>
    </cfRule>
    <cfRule type="cellIs" dxfId="80" priority="6" operator="greaterThan">
      <formula>0</formula>
    </cfRule>
  </conditionalFormatting>
  <conditionalFormatting sqref="E30">
    <cfRule type="cellIs" dxfId="79" priority="2" operator="lessThan">
      <formula>0</formula>
    </cfRule>
    <cfRule type="cellIs" dxfId="78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645D383E-C238-4609-A3BE-53AD8F74AF9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DF67498C-A850-4FF1-B125-E674ACFA4C8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A56948E7-2413-4552-8AA1-C0BB310143C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56F1F6EE-DEEF-4558-9446-D47DDD95F06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C60188C7-A0D8-4CE1-BA5C-059E6652528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C76A17F0-E8E1-4A66-AFF5-6B9BC9825E0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D9B1BE0D-2154-426D-AAB8-1E90A47A4A4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9D2F945B-1491-429D-857C-A01939E6AA8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FA6CF845-914B-4722-A5E5-442E181B6FB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DCC107C4-8478-4B96-BEC9-AB153BF656E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D8DA7EE4-AC0F-499C-A541-E1BE0C8D3B2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15FF3533-D611-41E9-9285-1960ADC929F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E98C78C5-79FA-4040-A5F4-5730D506585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4BDA1-B36F-4235-B557-5C59751C241B}">
  <sheetPr codeName="Sheet13"/>
  <dimension ref="A1:Q38"/>
  <sheetViews>
    <sheetView showGridLines="0" workbookViewId="0">
      <pane xSplit="2" topLeftCell="C1" activePane="topRight" state="frozen"/>
      <selection pane="topRight" activeCell="K23" sqref="K23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68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L32" s="39"/>
      <c r="M32" s="39"/>
    </row>
    <row r="33" spans="12:13">
      <c r="L33" s="39"/>
      <c r="M33" s="39"/>
    </row>
    <row r="34" spans="12:13">
      <c r="L34" s="39"/>
      <c r="M34" s="39"/>
    </row>
    <row r="35" spans="12:13">
      <c r="L35" s="39"/>
      <c r="M35" s="39"/>
    </row>
    <row r="36" spans="12:13">
      <c r="L36" s="39"/>
      <c r="M36" s="39"/>
    </row>
    <row r="37" spans="12:13">
      <c r="L37" s="39"/>
      <c r="M37" s="39"/>
    </row>
    <row r="38" spans="12:13" ht="17.45">
      <c r="M38" s="34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77" priority="38" operator="lessThan">
      <formula>0</formula>
    </cfRule>
    <cfRule type="cellIs" dxfId="76" priority="39" operator="greaterThan">
      <formula>0</formula>
    </cfRule>
  </conditionalFormatting>
  <conditionalFormatting sqref="Q9:Q29">
    <cfRule type="cellIs" dxfId="75" priority="35" operator="lessThan">
      <formula>0</formula>
    </cfRule>
    <cfRule type="cellIs" dxfId="74" priority="36" operator="greaterThan">
      <formula>0</formula>
    </cfRule>
  </conditionalFormatting>
  <conditionalFormatting sqref="K16:K29">
    <cfRule type="cellIs" dxfId="73" priority="32" operator="lessThan">
      <formula>0</formula>
    </cfRule>
    <cfRule type="cellIs" dxfId="72" priority="33" operator="greaterThan">
      <formula>0</formula>
    </cfRule>
  </conditionalFormatting>
  <conditionalFormatting sqref="H16:H29">
    <cfRule type="cellIs" dxfId="71" priority="29" operator="lessThan">
      <formula>0</formula>
    </cfRule>
    <cfRule type="cellIs" dxfId="70" priority="30" operator="greaterThan">
      <formula>0</formula>
    </cfRule>
  </conditionalFormatting>
  <conditionalFormatting sqref="E9:E29">
    <cfRule type="cellIs" dxfId="69" priority="26" operator="lessThan">
      <formula>0</formula>
    </cfRule>
    <cfRule type="cellIs" dxfId="68" priority="27" operator="greaterThan">
      <formula>0</formula>
    </cfRule>
  </conditionalFormatting>
  <conditionalFormatting sqref="Q30">
    <cfRule type="cellIs" dxfId="67" priority="23" operator="lessThan">
      <formula>0</formula>
    </cfRule>
    <cfRule type="cellIs" dxfId="66" priority="24" operator="greaterThan">
      <formula>0</formula>
    </cfRule>
  </conditionalFormatting>
  <conditionalFormatting sqref="H9">
    <cfRule type="cellIs" dxfId="65" priority="20" operator="lessThan">
      <formula>0</formula>
    </cfRule>
    <cfRule type="cellIs" dxfId="64" priority="21" operator="greaterThan">
      <formula>0</formula>
    </cfRule>
  </conditionalFormatting>
  <conditionalFormatting sqref="H10:H15">
    <cfRule type="cellIs" dxfId="63" priority="17" operator="lessThan">
      <formula>0</formula>
    </cfRule>
    <cfRule type="cellIs" dxfId="62" priority="18" operator="greaterThan">
      <formula>0</formula>
    </cfRule>
  </conditionalFormatting>
  <conditionalFormatting sqref="K10:K15">
    <cfRule type="cellIs" dxfId="61" priority="14" operator="lessThan">
      <formula>0</formula>
    </cfRule>
    <cfRule type="cellIs" dxfId="60" priority="15" operator="greaterThan">
      <formula>0</formula>
    </cfRule>
  </conditionalFormatting>
  <conditionalFormatting sqref="K9">
    <cfRule type="cellIs" dxfId="59" priority="11" operator="lessThan">
      <formula>0</formula>
    </cfRule>
    <cfRule type="cellIs" dxfId="58" priority="12" operator="greaterThan">
      <formula>0</formula>
    </cfRule>
  </conditionalFormatting>
  <conditionalFormatting sqref="K30">
    <cfRule type="cellIs" dxfId="57" priority="8" operator="lessThan">
      <formula>0</formula>
    </cfRule>
    <cfRule type="cellIs" dxfId="56" priority="9" operator="greaterThan">
      <formula>0</formula>
    </cfRule>
  </conditionalFormatting>
  <conditionalFormatting sqref="H30">
    <cfRule type="cellIs" dxfId="55" priority="5" operator="lessThan">
      <formula>0</formula>
    </cfRule>
    <cfRule type="cellIs" dxfId="54" priority="6" operator="greaterThan">
      <formula>0</formula>
    </cfRule>
  </conditionalFormatting>
  <conditionalFormatting sqref="E30">
    <cfRule type="cellIs" dxfId="53" priority="2" operator="lessThan">
      <formula>0</formula>
    </cfRule>
    <cfRule type="cellIs" dxfId="52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05A6853F-D14D-4024-8CC9-BF7DB16BE11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B1C87024-072F-41E4-9063-438CE003C7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8724D3B4-70A7-4AC0-9B83-8AB635EB2EB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9812B201-39CA-47E2-A72F-5694B0D1F26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E4C2F8C4-21D2-41CC-86DF-71A62A974DD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A5F82304-9C1C-4CD8-AD29-A7E10F433C3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D55DE7B8-49FD-4F13-B79B-F8AD48BC0E7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4AADDDD3-9052-494F-AACF-D8DF5A022E5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B22ED5D5-7D5C-4518-A100-04CB6C0974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622DF582-FAA7-4E7C-87D7-E1F6E2B8C29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41B0224A-0CE8-4A2B-898E-6F427B14737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74BF2436-67BC-470D-BE68-BFC53C44A11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81688ECF-D658-4026-971C-6E69ABF9D1D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38B4A-DD16-4EE5-A2FF-9B83C58A8233}">
  <sheetPr codeName="Sheet2"/>
  <dimension ref="A1:Q38"/>
  <sheetViews>
    <sheetView showGridLines="0" topLeftCell="A3" workbookViewId="0">
      <pane xSplit="2" topLeftCell="C1" activePane="topRight" state="frozen"/>
      <selection pane="topRight" activeCell="L32" sqref="L32:M37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69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3" si="0">+D9-C9</f>
        <v>0</v>
      </c>
      <c r="F9" s="23">
        <f>+SUM(F10:F15)</f>
        <v>0</v>
      </c>
      <c r="G9" s="24">
        <f>+SUM(G10:G15)</f>
        <v>0</v>
      </c>
      <c r="H9" s="25">
        <f t="shared" ref="H9:H23" si="1">+G9-F9</f>
        <v>0</v>
      </c>
      <c r="I9" s="23">
        <f>+SUM(I10:I15)</f>
        <v>0</v>
      </c>
      <c r="J9" s="24">
        <f>+SUM(J10:J15)</f>
        <v>0</v>
      </c>
      <c r="K9" s="25">
        <f t="shared" ref="K9:K23" si="2">+J9-I9</f>
        <v>0</v>
      </c>
      <c r="L9" s="23">
        <f>+SUM(L10:L15)</f>
        <v>1100</v>
      </c>
      <c r="M9" s="24">
        <f>+SUM(M10:M15)</f>
        <v>1130</v>
      </c>
      <c r="N9" s="25">
        <f t="shared" ref="N9:N23" si="3">+M9-L9</f>
        <v>30</v>
      </c>
      <c r="O9" s="23">
        <f>+SUM(O10:O15)</f>
        <v>1100</v>
      </c>
      <c r="P9" s="24">
        <f>+SUM(P10:P15)</f>
        <v>1130</v>
      </c>
      <c r="Q9" s="25">
        <f t="shared" ref="Q9:Q23" si="4">+P9-O9</f>
        <v>30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>
        <v>1000</v>
      </c>
      <c r="M10" s="19">
        <v>1000</v>
      </c>
      <c r="N10" s="15">
        <f t="shared" si="3"/>
        <v>0</v>
      </c>
      <c r="O10" s="14">
        <f>+C10+F10+I10+L10</f>
        <v>1000</v>
      </c>
      <c r="P10" s="19">
        <f>+D10+G10+J10+M10</f>
        <v>1000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>
        <v>20</v>
      </c>
      <c r="M11" s="19">
        <v>30</v>
      </c>
      <c r="N11" s="15">
        <f t="shared" si="3"/>
        <v>10</v>
      </c>
      <c r="O11" s="14">
        <f t="shared" ref="O11:O15" si="5">+C11+F11+I11+L11</f>
        <v>20</v>
      </c>
      <c r="P11" s="19">
        <f t="shared" ref="P11:P15" si="6">+D11+G11+J11+M11</f>
        <v>30</v>
      </c>
      <c r="Q11" s="15">
        <f t="shared" si="4"/>
        <v>10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>
        <v>40</v>
      </c>
      <c r="M12" s="19">
        <v>50</v>
      </c>
      <c r="N12" s="15">
        <f t="shared" si="3"/>
        <v>10</v>
      </c>
      <c r="O12" s="14">
        <f t="shared" si="5"/>
        <v>40</v>
      </c>
      <c r="P12" s="19">
        <f t="shared" si="6"/>
        <v>50</v>
      </c>
      <c r="Q12" s="15">
        <f t="shared" si="4"/>
        <v>10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>
        <v>20</v>
      </c>
      <c r="M13" s="19">
        <v>30</v>
      </c>
      <c r="N13" s="15">
        <f t="shared" si="3"/>
        <v>10</v>
      </c>
      <c r="O13" s="14">
        <f t="shared" si="5"/>
        <v>20</v>
      </c>
      <c r="P13" s="19">
        <f t="shared" si="6"/>
        <v>30</v>
      </c>
      <c r="Q13" s="15">
        <f t="shared" si="4"/>
        <v>10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>
        <v>15</v>
      </c>
      <c r="M14" s="19">
        <v>15</v>
      </c>
      <c r="N14" s="15">
        <f t="shared" si="3"/>
        <v>0</v>
      </c>
      <c r="O14" s="14">
        <f t="shared" si="5"/>
        <v>15</v>
      </c>
      <c r="P14" s="19">
        <f t="shared" si="6"/>
        <v>15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>
        <v>5</v>
      </c>
      <c r="M15" s="19">
        <v>5</v>
      </c>
      <c r="N15" s="15">
        <f t="shared" si="3"/>
        <v>0</v>
      </c>
      <c r="O15" s="14">
        <f t="shared" si="5"/>
        <v>5</v>
      </c>
      <c r="P15" s="19">
        <f t="shared" si="6"/>
        <v>5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50</v>
      </c>
      <c r="M16" s="24">
        <f>+SUM(M17:M18)</f>
        <v>50</v>
      </c>
      <c r="N16" s="25">
        <f t="shared" si="3"/>
        <v>0</v>
      </c>
      <c r="O16" s="23">
        <f>+SUM(O17:O18)</f>
        <v>50</v>
      </c>
      <c r="P16" s="24">
        <f>+SUM(P17:P18)</f>
        <v>50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>
        <v>30</v>
      </c>
      <c r="M17" s="19">
        <v>35</v>
      </c>
      <c r="N17" s="15">
        <f t="shared" si="3"/>
        <v>5</v>
      </c>
      <c r="O17" s="14">
        <f t="shared" ref="O17:O18" si="7">+C17+F17+I17+L17</f>
        <v>30</v>
      </c>
      <c r="P17" s="19">
        <f t="shared" ref="P17:P18" si="8">+D17+G17+J17+M17</f>
        <v>35</v>
      </c>
      <c r="Q17" s="15">
        <f t="shared" si="4"/>
        <v>5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>
        <v>20</v>
      </c>
      <c r="M18" s="19">
        <v>15</v>
      </c>
      <c r="N18" s="15">
        <f t="shared" si="3"/>
        <v>-5</v>
      </c>
      <c r="O18" s="14">
        <f t="shared" si="7"/>
        <v>20</v>
      </c>
      <c r="P18" s="19">
        <f t="shared" si="8"/>
        <v>15</v>
      </c>
      <c r="Q18" s="15">
        <f t="shared" si="4"/>
        <v>-5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48</v>
      </c>
      <c r="M19" s="24">
        <f>+SUM(M20:M25)</f>
        <v>60</v>
      </c>
      <c r="N19" s="25">
        <f t="shared" si="3"/>
        <v>12</v>
      </c>
      <c r="O19" s="23">
        <f>+SUM(O20:O25)</f>
        <v>48</v>
      </c>
      <c r="P19" s="24">
        <f>+SUM(P20:P25)</f>
        <v>60</v>
      </c>
      <c r="Q19" s="25">
        <f t="shared" si="4"/>
        <v>12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>
        <v>15</v>
      </c>
      <c r="M20" s="19">
        <v>27</v>
      </c>
      <c r="N20" s="15">
        <f t="shared" si="3"/>
        <v>12</v>
      </c>
      <c r="O20" s="14">
        <f t="shared" ref="O20:O21" si="9">+C20+F20+I20+L20</f>
        <v>15</v>
      </c>
      <c r="P20" s="19">
        <f t="shared" ref="P20" si="10">+D20+G20+J20+M20</f>
        <v>27</v>
      </c>
      <c r="Q20" s="15">
        <f t="shared" si="4"/>
        <v>12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>
        <v>20</v>
      </c>
      <c r="M21" s="19">
        <v>20</v>
      </c>
      <c r="N21" s="15">
        <f t="shared" si="3"/>
        <v>0</v>
      </c>
      <c r="O21" s="14">
        <f t="shared" si="9"/>
        <v>20</v>
      </c>
      <c r="P21" s="19">
        <f t="shared" ref="P21:P25" si="11">+D21+G21+J21+M21</f>
        <v>20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>
        <v>8</v>
      </c>
      <c r="M22" s="19">
        <v>8</v>
      </c>
      <c r="N22" s="15">
        <f t="shared" si="3"/>
        <v>0</v>
      </c>
      <c r="O22" s="14">
        <f t="shared" ref="O22:O25" si="12">+C22+F22+I22+L22</f>
        <v>8</v>
      </c>
      <c r="P22" s="19">
        <f t="shared" si="11"/>
        <v>8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>
        <v>5</v>
      </c>
      <c r="M23" s="19">
        <v>5</v>
      </c>
      <c r="N23" s="15">
        <f t="shared" si="3"/>
        <v>0</v>
      </c>
      <c r="O23" s="14">
        <f t="shared" si="12"/>
        <v>5</v>
      </c>
      <c r="P23" s="19">
        <f t="shared" si="11"/>
        <v>5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ref="E24:E25" si="13">+D24-C24</f>
        <v>0</v>
      </c>
      <c r="F24" s="14"/>
      <c r="G24" s="19"/>
      <c r="H24" s="15">
        <f t="shared" ref="H24:H25" si="14">+G24-F24</f>
        <v>0</v>
      </c>
      <c r="I24" s="14"/>
      <c r="J24" s="19"/>
      <c r="K24" s="15">
        <f t="shared" ref="K24:K25" si="15">+J24-I24</f>
        <v>0</v>
      </c>
      <c r="L24" s="14">
        <v>0</v>
      </c>
      <c r="M24" s="19">
        <v>0</v>
      </c>
      <c r="N24" s="15">
        <f t="shared" ref="N24:N25" si="16">+M24-L24</f>
        <v>0</v>
      </c>
      <c r="O24" s="14">
        <f t="shared" si="12"/>
        <v>0</v>
      </c>
      <c r="P24" s="19">
        <f t="shared" si="11"/>
        <v>0</v>
      </c>
      <c r="Q24" s="15">
        <f t="shared" ref="Q24:Q25" si="17">+P24-O24</f>
        <v>0</v>
      </c>
    </row>
    <row r="25" spans="2:17">
      <c r="B25" s="10" t="s">
        <v>35</v>
      </c>
      <c r="C25" s="14"/>
      <c r="D25" s="19"/>
      <c r="E25" s="15">
        <f t="shared" si="13"/>
        <v>0</v>
      </c>
      <c r="F25" s="14"/>
      <c r="G25" s="19"/>
      <c r="H25" s="15">
        <f t="shared" si="14"/>
        <v>0</v>
      </c>
      <c r="I25" s="14"/>
      <c r="J25" s="19"/>
      <c r="K25" s="15">
        <f t="shared" si="15"/>
        <v>0</v>
      </c>
      <c r="L25" s="14">
        <v>0</v>
      </c>
      <c r="M25" s="19">
        <v>0</v>
      </c>
      <c r="N25" s="15">
        <f t="shared" si="16"/>
        <v>0</v>
      </c>
      <c r="O25" s="14">
        <f t="shared" si="12"/>
        <v>0</v>
      </c>
      <c r="P25" s="19">
        <f t="shared" si="11"/>
        <v>0</v>
      </c>
      <c r="Q25" s="15">
        <f t="shared" si="17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>
        <v>0</v>
      </c>
      <c r="M27" s="19">
        <v>0</v>
      </c>
      <c r="N27" s="15">
        <f>+M27-L27</f>
        <v>0</v>
      </c>
      <c r="O27" s="14">
        <f t="shared" ref="O27:O29" si="18">+C27+F27+I27+L27</f>
        <v>0</v>
      </c>
      <c r="P27" s="19">
        <f t="shared" ref="P27:P29" si="19">+D27+G27+J27+M27</f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20">+D28-C28</f>
        <v>0</v>
      </c>
      <c r="F28" s="14"/>
      <c r="G28" s="19"/>
      <c r="H28" s="15">
        <f t="shared" ref="H28:H29" si="21">+G28-F28</f>
        <v>0</v>
      </c>
      <c r="I28" s="14"/>
      <c r="J28" s="19"/>
      <c r="K28" s="15">
        <f t="shared" ref="K28:K29" si="22">+J28-I28</f>
        <v>0</v>
      </c>
      <c r="L28" s="14">
        <v>0</v>
      </c>
      <c r="M28" s="19">
        <v>0</v>
      </c>
      <c r="N28" s="15">
        <f t="shared" ref="N28:N29" si="23">+M28-L28</f>
        <v>0</v>
      </c>
      <c r="O28" s="14">
        <f t="shared" si="18"/>
        <v>0</v>
      </c>
      <c r="P28" s="19">
        <f t="shared" si="19"/>
        <v>0</v>
      </c>
      <c r="Q28" s="15">
        <f t="shared" ref="Q28:Q29" si="24">+P28-O28</f>
        <v>0</v>
      </c>
    </row>
    <row r="29" spans="2:17">
      <c r="B29" s="18" t="s">
        <v>60</v>
      </c>
      <c r="C29" s="14"/>
      <c r="D29" s="19"/>
      <c r="E29" s="15">
        <f t="shared" si="20"/>
        <v>0</v>
      </c>
      <c r="F29" s="14"/>
      <c r="G29" s="19"/>
      <c r="H29" s="15">
        <f t="shared" si="21"/>
        <v>0</v>
      </c>
      <c r="I29" s="14"/>
      <c r="J29" s="19"/>
      <c r="K29" s="15">
        <f t="shared" si="22"/>
        <v>0</v>
      </c>
      <c r="L29" s="14">
        <v>0</v>
      </c>
      <c r="M29" s="19">
        <v>0</v>
      </c>
      <c r="N29" s="15">
        <f t="shared" si="23"/>
        <v>0</v>
      </c>
      <c r="O29" s="14">
        <f t="shared" si="18"/>
        <v>0</v>
      </c>
      <c r="P29" s="19">
        <f t="shared" si="19"/>
        <v>0</v>
      </c>
      <c r="Q29" s="15">
        <f t="shared" si="24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1198</v>
      </c>
      <c r="M30" s="27">
        <f>+M9+M16+M19+M26</f>
        <v>1240</v>
      </c>
      <c r="N30" s="43">
        <f>+M30-L30</f>
        <v>42</v>
      </c>
      <c r="O30" s="26">
        <f>+O9+O16+O19+O26</f>
        <v>1198</v>
      </c>
      <c r="P30" s="27">
        <f>+P9+P16+P19+P26</f>
        <v>1240</v>
      </c>
      <c r="Q30" s="43">
        <f>+P30-O30</f>
        <v>42</v>
      </c>
    </row>
    <row r="32" spans="2:17">
      <c r="L32" s="44"/>
      <c r="M32" s="44"/>
    </row>
    <row r="33" spans="12:13">
      <c r="L33" s="44"/>
      <c r="M33" s="44"/>
    </row>
    <row r="34" spans="12:13">
      <c r="L34" s="44"/>
      <c r="M34" s="44"/>
    </row>
    <row r="35" spans="12:13">
      <c r="L35" s="44"/>
      <c r="M35" s="44"/>
    </row>
    <row r="36" spans="12:13">
      <c r="L36" s="44"/>
      <c r="M36" s="44"/>
    </row>
    <row r="37" spans="12:13">
      <c r="L37" s="44"/>
      <c r="M37" s="44"/>
    </row>
    <row r="38" spans="12:13" ht="17.45">
      <c r="M38" s="34"/>
    </row>
  </sheetData>
  <mergeCells count="5">
    <mergeCell ref="L7:N7"/>
    <mergeCell ref="O7:Q7"/>
    <mergeCell ref="C7:E7"/>
    <mergeCell ref="F7:H7"/>
    <mergeCell ref="I7:K7"/>
  </mergeCells>
  <conditionalFormatting sqref="N9:N30">
    <cfRule type="cellIs" dxfId="51" priority="50" operator="lessThan">
      <formula>0</formula>
    </cfRule>
    <cfRule type="cellIs" dxfId="50" priority="51" operator="greaterThan">
      <formula>0</formula>
    </cfRule>
  </conditionalFormatting>
  <conditionalFormatting sqref="Q9:Q29">
    <cfRule type="cellIs" dxfId="49" priority="35" operator="lessThan">
      <formula>0</formula>
    </cfRule>
    <cfRule type="cellIs" dxfId="48" priority="36" operator="greaterThan">
      <formula>0</formula>
    </cfRule>
  </conditionalFormatting>
  <conditionalFormatting sqref="K16:K29">
    <cfRule type="cellIs" dxfId="47" priority="32" operator="lessThan">
      <formula>0</formula>
    </cfRule>
    <cfRule type="cellIs" dxfId="46" priority="33" operator="greaterThan">
      <formula>0</formula>
    </cfRule>
  </conditionalFormatting>
  <conditionalFormatting sqref="H16:H29">
    <cfRule type="cellIs" dxfId="45" priority="29" operator="lessThan">
      <formula>0</formula>
    </cfRule>
    <cfRule type="cellIs" dxfId="44" priority="30" operator="greaterThan">
      <formula>0</formula>
    </cfRule>
  </conditionalFormatting>
  <conditionalFormatting sqref="E9:E29">
    <cfRule type="cellIs" dxfId="43" priority="26" operator="lessThan">
      <formula>0</formula>
    </cfRule>
    <cfRule type="cellIs" dxfId="42" priority="27" operator="greaterThan">
      <formula>0</formula>
    </cfRule>
  </conditionalFormatting>
  <conditionalFormatting sqref="Q30">
    <cfRule type="cellIs" dxfId="41" priority="23" operator="lessThan">
      <formula>0</formula>
    </cfRule>
    <cfRule type="cellIs" dxfId="40" priority="24" operator="greaterThan">
      <formula>0</formula>
    </cfRule>
  </conditionalFormatting>
  <conditionalFormatting sqref="H9">
    <cfRule type="cellIs" dxfId="39" priority="20" operator="lessThan">
      <formula>0</formula>
    </cfRule>
    <cfRule type="cellIs" dxfId="38" priority="21" operator="greaterThan">
      <formula>0</formula>
    </cfRule>
  </conditionalFormatting>
  <conditionalFormatting sqref="H10:H15">
    <cfRule type="cellIs" dxfId="37" priority="17" operator="lessThan">
      <formula>0</formula>
    </cfRule>
    <cfRule type="cellIs" dxfId="36" priority="18" operator="greaterThan">
      <formula>0</formula>
    </cfRule>
  </conditionalFormatting>
  <conditionalFormatting sqref="K10:K15">
    <cfRule type="cellIs" dxfId="35" priority="14" operator="lessThan">
      <formula>0</formula>
    </cfRule>
    <cfRule type="cellIs" dxfId="34" priority="15" operator="greaterThan">
      <formula>0</formula>
    </cfRule>
  </conditionalFormatting>
  <conditionalFormatting sqref="K9">
    <cfRule type="cellIs" dxfId="33" priority="11" operator="lessThan">
      <formula>0</formula>
    </cfRule>
    <cfRule type="cellIs" dxfId="32" priority="12" operator="greaterThan">
      <formula>0</formula>
    </cfRule>
  </conditionalFormatting>
  <conditionalFormatting sqref="K30">
    <cfRule type="cellIs" dxfId="31" priority="8" operator="lessThan">
      <formula>0</formula>
    </cfRule>
    <cfRule type="cellIs" dxfId="30" priority="9" operator="greaterThan">
      <formula>0</formula>
    </cfRule>
  </conditionalFormatting>
  <conditionalFormatting sqref="H30">
    <cfRule type="cellIs" dxfId="29" priority="5" operator="lessThan">
      <formula>0</formula>
    </cfRule>
    <cfRule type="cellIs" dxfId="28" priority="6" operator="greaterThan">
      <formula>0</formula>
    </cfRule>
  </conditionalFormatting>
  <conditionalFormatting sqref="E30">
    <cfRule type="cellIs" dxfId="27" priority="2" operator="lessThan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3A61EC1F-E50C-4BCD-8764-0EE8A4C0336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A3877BF1-BCD9-46D3-B38E-29EC8051B4C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32E469E2-0231-4FFA-B8CE-964D513901E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45BD5C3E-E07B-4308-98DF-BECD0CDAAAB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0378B933-4897-4C96-8C61-CDDAE57079B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11543C30-852C-4A1E-9D5D-1391B97FA78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49912AC5-71FA-4777-93C2-F9FF21AB911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F63802DD-0412-4636-9450-61518FE441A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0B54C66F-BFD7-40E5-8784-E12E1AD69E1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B73B62FB-70E8-41A1-B7DB-14F211FB1D4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8875BE92-64C9-447D-90F9-056F0BED46F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D70BCA35-1162-4576-9BF1-94D46128B08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6EF0F184-4ED3-4C16-8A6D-0B6175EB01C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C45DF-99F6-4523-813E-F2C91B4D3ED7}">
  <sheetPr codeName="Sheet3"/>
  <dimension ref="A1:Q38"/>
  <sheetViews>
    <sheetView showGridLines="0" topLeftCell="A5" workbookViewId="0">
      <pane xSplit="2" topLeftCell="C1" activePane="topRight" state="frozen"/>
      <selection pane="topRight" activeCell="D15" sqref="C10:D15"/>
      <selection activeCell="K23" sqref="K23"/>
    </sheetView>
  </sheetViews>
  <sheetFormatPr defaultColWidth="8.75" defaultRowHeight="13.9"/>
  <cols>
    <col min="1" max="1" width="2.25" style="2" customWidth="1"/>
    <col min="2" max="2" width="26.25" style="2" customWidth="1"/>
    <col min="3" max="6" width="11.75" style="2" customWidth="1"/>
    <col min="7" max="7" width="14.125" style="2" customWidth="1"/>
    <col min="8" max="18" width="11.75" style="2" customWidth="1"/>
    <col min="19" max="16384" width="8.75" style="2"/>
  </cols>
  <sheetData>
    <row r="1" spans="1:17" ht="13.15" customHeight="1">
      <c r="A1" s="1"/>
      <c r="C1" s="3"/>
      <c r="D1" s="3"/>
      <c r="E1" s="4"/>
      <c r="F1" s="4"/>
      <c r="G1" s="4"/>
      <c r="H1" s="4"/>
      <c r="I1" s="4"/>
      <c r="J1" s="4"/>
      <c r="K1" s="4"/>
      <c r="L1" s="4"/>
      <c r="M1" s="1"/>
    </row>
    <row r="2" spans="1:17" s="6" customFormat="1" ht="24">
      <c r="A2" s="2"/>
      <c r="B2" s="5" t="s">
        <v>36</v>
      </c>
    </row>
    <row r="4" spans="1:17" ht="24">
      <c r="B4" s="22" t="s">
        <v>70</v>
      </c>
      <c r="C4" s="11"/>
      <c r="D4" s="42"/>
      <c r="O4" s="34"/>
      <c r="P4" s="34"/>
      <c r="Q4" s="34"/>
    </row>
    <row r="6" spans="1:17" ht="25.15" customHeight="1" thickBot="1">
      <c r="B6" s="7" t="s">
        <v>38</v>
      </c>
      <c r="C6" s="7"/>
      <c r="D6" s="7"/>
      <c r="E6" s="7"/>
      <c r="F6" s="7"/>
      <c r="G6" s="7"/>
      <c r="H6" s="7"/>
      <c r="I6" s="7"/>
      <c r="J6" s="7"/>
      <c r="K6" s="7"/>
      <c r="L6" s="7"/>
      <c r="M6" s="21"/>
      <c r="N6" s="21"/>
      <c r="O6" s="21"/>
      <c r="P6" s="21"/>
      <c r="Q6" s="21"/>
    </row>
    <row r="7" spans="1:17" ht="16.899999999999999" customHeight="1">
      <c r="B7" s="20"/>
      <c r="C7" s="51" t="s">
        <v>39</v>
      </c>
      <c r="D7" s="52"/>
      <c r="E7" s="52"/>
      <c r="F7" s="51" t="s">
        <v>40</v>
      </c>
      <c r="G7" s="52"/>
      <c r="H7" s="52"/>
      <c r="I7" s="51" t="s">
        <v>41</v>
      </c>
      <c r="J7" s="52"/>
      <c r="K7" s="52"/>
      <c r="L7" s="51" t="s">
        <v>42</v>
      </c>
      <c r="M7" s="52"/>
      <c r="N7" s="52"/>
      <c r="O7" s="53" t="s">
        <v>43</v>
      </c>
      <c r="P7" s="54"/>
      <c r="Q7" s="54"/>
    </row>
    <row r="8" spans="1:17" ht="27.6">
      <c r="B8" s="8"/>
      <c r="C8" s="12" t="s">
        <v>18</v>
      </c>
      <c r="D8" s="16" t="s">
        <v>44</v>
      </c>
      <c r="E8" s="13" t="s">
        <v>45</v>
      </c>
      <c r="F8" s="12" t="s">
        <v>18</v>
      </c>
      <c r="G8" s="16" t="s">
        <v>44</v>
      </c>
      <c r="H8" s="13" t="s">
        <v>45</v>
      </c>
      <c r="I8" s="12" t="s">
        <v>18</v>
      </c>
      <c r="J8" s="16" t="s">
        <v>44</v>
      </c>
      <c r="K8" s="13" t="s">
        <v>45</v>
      </c>
      <c r="L8" s="12" t="s">
        <v>18</v>
      </c>
      <c r="M8" s="16" t="s">
        <v>44</v>
      </c>
      <c r="N8" s="13" t="s">
        <v>45</v>
      </c>
      <c r="O8" s="12" t="s">
        <v>18</v>
      </c>
      <c r="P8" s="16" t="s">
        <v>44</v>
      </c>
      <c r="Q8" s="13" t="s">
        <v>45</v>
      </c>
    </row>
    <row r="9" spans="1:17">
      <c r="B9" s="17" t="s">
        <v>46</v>
      </c>
      <c r="C9" s="23">
        <f>+SUM(C10:C15)</f>
        <v>0</v>
      </c>
      <c r="D9" s="24">
        <f>+SUM(D10:D15)</f>
        <v>0</v>
      </c>
      <c r="E9" s="25">
        <f t="shared" ref="E9:E25" si="0">+D9-C9</f>
        <v>0</v>
      </c>
      <c r="F9" s="23">
        <f>+SUM(F10:F15)</f>
        <v>0</v>
      </c>
      <c r="G9" s="24">
        <f>+SUM(G10:G15)</f>
        <v>0</v>
      </c>
      <c r="H9" s="25">
        <f t="shared" ref="H9:H25" si="1">+G9-F9</f>
        <v>0</v>
      </c>
      <c r="I9" s="23">
        <f>+SUM(I10:I15)</f>
        <v>0</v>
      </c>
      <c r="J9" s="24">
        <f>+SUM(J10:J15)</f>
        <v>0</v>
      </c>
      <c r="K9" s="25">
        <f t="shared" ref="K9:K25" si="2">+J9-I9</f>
        <v>0</v>
      </c>
      <c r="L9" s="23">
        <f>+SUM(L10:L15)</f>
        <v>0</v>
      </c>
      <c r="M9" s="24">
        <f>+SUM(M10:M15)</f>
        <v>0</v>
      </c>
      <c r="N9" s="25">
        <f t="shared" ref="N9:N25" si="3">+M9-L9</f>
        <v>0</v>
      </c>
      <c r="O9" s="23">
        <f>+SUM(O10:O15)</f>
        <v>0</v>
      </c>
      <c r="P9" s="24">
        <f>+SUM(P10:P15)</f>
        <v>0</v>
      </c>
      <c r="Q9" s="25">
        <f t="shared" ref="Q9:Q25" si="4">+P9-O9</f>
        <v>0</v>
      </c>
    </row>
    <row r="10" spans="1:17">
      <c r="B10" s="18" t="s">
        <v>47</v>
      </c>
      <c r="C10" s="14"/>
      <c r="D10" s="19"/>
      <c r="E10" s="15">
        <f t="shared" si="0"/>
        <v>0</v>
      </c>
      <c r="F10" s="14"/>
      <c r="G10" s="19"/>
      <c r="H10" s="15">
        <f t="shared" si="1"/>
        <v>0</v>
      </c>
      <c r="I10" s="14"/>
      <c r="J10" s="19"/>
      <c r="K10" s="15">
        <f t="shared" si="2"/>
        <v>0</v>
      </c>
      <c r="L10" s="14"/>
      <c r="M10" s="19"/>
      <c r="N10" s="15">
        <f t="shared" si="3"/>
        <v>0</v>
      </c>
      <c r="O10" s="14">
        <f>+C10+F10+I10+L10</f>
        <v>0</v>
      </c>
      <c r="P10" s="19">
        <f>+D10+G10+J10+M10</f>
        <v>0</v>
      </c>
      <c r="Q10" s="15">
        <f t="shared" si="4"/>
        <v>0</v>
      </c>
    </row>
    <row r="11" spans="1:17">
      <c r="B11" s="18" t="s">
        <v>48</v>
      </c>
      <c r="C11" s="14"/>
      <c r="D11" s="19"/>
      <c r="E11" s="15">
        <f t="shared" si="0"/>
        <v>0</v>
      </c>
      <c r="F11" s="14"/>
      <c r="G11" s="19"/>
      <c r="H11" s="15">
        <f t="shared" si="1"/>
        <v>0</v>
      </c>
      <c r="I11" s="14"/>
      <c r="J11" s="19"/>
      <c r="K11" s="15">
        <f t="shared" si="2"/>
        <v>0</v>
      </c>
      <c r="L11" s="14"/>
      <c r="M11" s="19"/>
      <c r="N11" s="15">
        <f t="shared" si="3"/>
        <v>0</v>
      </c>
      <c r="O11" s="14">
        <f t="shared" ref="O11:P15" si="5">+C11+F11+I11+L11</f>
        <v>0</v>
      </c>
      <c r="P11" s="19">
        <f t="shared" si="5"/>
        <v>0</v>
      </c>
      <c r="Q11" s="15">
        <f t="shared" si="4"/>
        <v>0</v>
      </c>
    </row>
    <row r="12" spans="1:17">
      <c r="B12" s="18" t="s">
        <v>49</v>
      </c>
      <c r="C12" s="14"/>
      <c r="D12" s="19"/>
      <c r="E12" s="15">
        <f t="shared" si="0"/>
        <v>0</v>
      </c>
      <c r="F12" s="14"/>
      <c r="G12" s="19"/>
      <c r="H12" s="15">
        <f t="shared" si="1"/>
        <v>0</v>
      </c>
      <c r="I12" s="14"/>
      <c r="J12" s="19"/>
      <c r="K12" s="15">
        <f t="shared" si="2"/>
        <v>0</v>
      </c>
      <c r="L12" s="14"/>
      <c r="M12" s="19"/>
      <c r="N12" s="15">
        <f t="shared" si="3"/>
        <v>0</v>
      </c>
      <c r="O12" s="14">
        <f t="shared" si="5"/>
        <v>0</v>
      </c>
      <c r="P12" s="19">
        <f t="shared" si="5"/>
        <v>0</v>
      </c>
      <c r="Q12" s="15">
        <f t="shared" si="4"/>
        <v>0</v>
      </c>
    </row>
    <row r="13" spans="1:17">
      <c r="B13" s="2" t="s">
        <v>50</v>
      </c>
      <c r="C13" s="14"/>
      <c r="D13" s="19"/>
      <c r="E13" s="15">
        <f t="shared" si="0"/>
        <v>0</v>
      </c>
      <c r="F13" s="14"/>
      <c r="G13" s="19"/>
      <c r="H13" s="15">
        <f t="shared" si="1"/>
        <v>0</v>
      </c>
      <c r="I13" s="14"/>
      <c r="J13" s="19"/>
      <c r="K13" s="15">
        <f t="shared" si="2"/>
        <v>0</v>
      </c>
      <c r="L13" s="14"/>
      <c r="M13" s="19"/>
      <c r="N13" s="15">
        <f t="shared" si="3"/>
        <v>0</v>
      </c>
      <c r="O13" s="14">
        <f t="shared" si="5"/>
        <v>0</v>
      </c>
      <c r="P13" s="19">
        <f t="shared" si="5"/>
        <v>0</v>
      </c>
      <c r="Q13" s="15">
        <f t="shared" si="4"/>
        <v>0</v>
      </c>
    </row>
    <row r="14" spans="1:17">
      <c r="B14" s="18" t="s">
        <v>51</v>
      </c>
      <c r="C14" s="14"/>
      <c r="D14" s="19"/>
      <c r="E14" s="15">
        <f t="shared" si="0"/>
        <v>0</v>
      </c>
      <c r="F14" s="14"/>
      <c r="G14" s="19"/>
      <c r="H14" s="15">
        <f t="shared" si="1"/>
        <v>0</v>
      </c>
      <c r="I14" s="14"/>
      <c r="J14" s="19"/>
      <c r="K14" s="15">
        <f t="shared" si="2"/>
        <v>0</v>
      </c>
      <c r="L14" s="14"/>
      <c r="M14" s="19"/>
      <c r="N14" s="15">
        <f t="shared" si="3"/>
        <v>0</v>
      </c>
      <c r="O14" s="14">
        <f t="shared" si="5"/>
        <v>0</v>
      </c>
      <c r="P14" s="19">
        <f t="shared" si="5"/>
        <v>0</v>
      </c>
      <c r="Q14" s="15">
        <f t="shared" si="4"/>
        <v>0</v>
      </c>
    </row>
    <row r="15" spans="1:17">
      <c r="B15" s="18" t="s">
        <v>52</v>
      </c>
      <c r="C15" s="14"/>
      <c r="D15" s="19"/>
      <c r="E15" s="15">
        <f t="shared" si="0"/>
        <v>0</v>
      </c>
      <c r="F15" s="14"/>
      <c r="G15" s="19"/>
      <c r="H15" s="15">
        <f t="shared" si="1"/>
        <v>0</v>
      </c>
      <c r="I15" s="14"/>
      <c r="J15" s="19"/>
      <c r="K15" s="15">
        <f t="shared" si="2"/>
        <v>0</v>
      </c>
      <c r="L15" s="14"/>
      <c r="M15" s="19"/>
      <c r="N15" s="15">
        <f t="shared" si="3"/>
        <v>0</v>
      </c>
      <c r="O15" s="14">
        <f t="shared" si="5"/>
        <v>0</v>
      </c>
      <c r="P15" s="19">
        <f t="shared" si="5"/>
        <v>0</v>
      </c>
      <c r="Q15" s="15">
        <f t="shared" si="4"/>
        <v>0</v>
      </c>
    </row>
    <row r="16" spans="1:17">
      <c r="B16" s="17" t="s">
        <v>53</v>
      </c>
      <c r="C16" s="23">
        <f>+SUM(C17:C18)</f>
        <v>0</v>
      </c>
      <c r="D16" s="24">
        <f>+SUM(D17:D18)</f>
        <v>0</v>
      </c>
      <c r="E16" s="25">
        <f t="shared" si="0"/>
        <v>0</v>
      </c>
      <c r="F16" s="23">
        <f>+SUM(F17:F18)</f>
        <v>0</v>
      </c>
      <c r="G16" s="24">
        <f>+SUM(G17:G18)</f>
        <v>0</v>
      </c>
      <c r="H16" s="25">
        <f t="shared" si="1"/>
        <v>0</v>
      </c>
      <c r="I16" s="23">
        <f>+SUM(I17:I18)</f>
        <v>0</v>
      </c>
      <c r="J16" s="24">
        <f>+SUM(J17:J18)</f>
        <v>0</v>
      </c>
      <c r="K16" s="25">
        <f t="shared" si="2"/>
        <v>0</v>
      </c>
      <c r="L16" s="23">
        <f>+SUM(L17:L18)</f>
        <v>0</v>
      </c>
      <c r="M16" s="24">
        <f>+SUM(M17:M18)</f>
        <v>0</v>
      </c>
      <c r="N16" s="25">
        <f t="shared" si="3"/>
        <v>0</v>
      </c>
      <c r="O16" s="23">
        <f>+SUM(O17:O18)</f>
        <v>0</v>
      </c>
      <c r="P16" s="24">
        <f>+SUM(P17:P18)</f>
        <v>0</v>
      </c>
      <c r="Q16" s="25">
        <f t="shared" si="4"/>
        <v>0</v>
      </c>
    </row>
    <row r="17" spans="2:17">
      <c r="B17" s="18" t="s">
        <v>54</v>
      </c>
      <c r="C17" s="14"/>
      <c r="D17" s="19"/>
      <c r="E17" s="15">
        <f t="shared" si="0"/>
        <v>0</v>
      </c>
      <c r="F17" s="14"/>
      <c r="G17" s="19"/>
      <c r="H17" s="15">
        <f t="shared" si="1"/>
        <v>0</v>
      </c>
      <c r="I17" s="14"/>
      <c r="J17" s="19"/>
      <c r="K17" s="15">
        <f t="shared" si="2"/>
        <v>0</v>
      </c>
      <c r="L17" s="14"/>
      <c r="M17" s="19"/>
      <c r="N17" s="15">
        <f t="shared" si="3"/>
        <v>0</v>
      </c>
      <c r="O17" s="14">
        <f t="shared" ref="O17:P18" si="6">+C17+F17+I17+L17</f>
        <v>0</v>
      </c>
      <c r="P17" s="19">
        <f t="shared" si="6"/>
        <v>0</v>
      </c>
      <c r="Q17" s="15">
        <f t="shared" si="4"/>
        <v>0</v>
      </c>
    </row>
    <row r="18" spans="2:17">
      <c r="B18" s="18" t="s">
        <v>55</v>
      </c>
      <c r="C18" s="14"/>
      <c r="D18" s="19"/>
      <c r="E18" s="15">
        <f t="shared" si="0"/>
        <v>0</v>
      </c>
      <c r="F18" s="14"/>
      <c r="G18" s="19"/>
      <c r="H18" s="15">
        <f t="shared" si="1"/>
        <v>0</v>
      </c>
      <c r="I18" s="14"/>
      <c r="J18" s="19"/>
      <c r="K18" s="15">
        <f t="shared" si="2"/>
        <v>0</v>
      </c>
      <c r="L18" s="14"/>
      <c r="M18" s="19"/>
      <c r="N18" s="15">
        <f t="shared" si="3"/>
        <v>0</v>
      </c>
      <c r="O18" s="14">
        <f t="shared" si="6"/>
        <v>0</v>
      </c>
      <c r="P18" s="19">
        <f t="shared" si="6"/>
        <v>0</v>
      </c>
      <c r="Q18" s="15">
        <f t="shared" si="4"/>
        <v>0</v>
      </c>
    </row>
    <row r="19" spans="2:17">
      <c r="B19" s="17" t="s">
        <v>21</v>
      </c>
      <c r="C19" s="23">
        <f>+SUM(C20:C25)</f>
        <v>0</v>
      </c>
      <c r="D19" s="24">
        <f>+SUM(D20:D25)</f>
        <v>0</v>
      </c>
      <c r="E19" s="25">
        <f t="shared" si="0"/>
        <v>0</v>
      </c>
      <c r="F19" s="23">
        <f>+SUM(F20:F25)</f>
        <v>0</v>
      </c>
      <c r="G19" s="24">
        <f>+SUM(G20:G25)</f>
        <v>0</v>
      </c>
      <c r="H19" s="25">
        <f t="shared" si="1"/>
        <v>0</v>
      </c>
      <c r="I19" s="23">
        <f>+SUM(I20:I25)</f>
        <v>0</v>
      </c>
      <c r="J19" s="24">
        <f>+SUM(J20:J25)</f>
        <v>0</v>
      </c>
      <c r="K19" s="25">
        <f t="shared" si="2"/>
        <v>0</v>
      </c>
      <c r="L19" s="23">
        <f>+SUM(L20:L25)</f>
        <v>0</v>
      </c>
      <c r="M19" s="24">
        <f>+SUM(M20:M25)</f>
        <v>0</v>
      </c>
      <c r="N19" s="25">
        <f t="shared" si="3"/>
        <v>0</v>
      </c>
      <c r="O19" s="23">
        <f>+SUM(O20:O25)</f>
        <v>0</v>
      </c>
      <c r="P19" s="24">
        <f>+SUM(P20:P25)</f>
        <v>0</v>
      </c>
      <c r="Q19" s="25">
        <f t="shared" si="4"/>
        <v>0</v>
      </c>
    </row>
    <row r="20" spans="2:17">
      <c r="B20" s="10" t="s">
        <v>56</v>
      </c>
      <c r="C20" s="14"/>
      <c r="D20" s="19"/>
      <c r="E20" s="15">
        <f t="shared" si="0"/>
        <v>0</v>
      </c>
      <c r="F20" s="14"/>
      <c r="G20" s="19"/>
      <c r="H20" s="15">
        <f t="shared" si="1"/>
        <v>0</v>
      </c>
      <c r="I20" s="14"/>
      <c r="J20" s="19"/>
      <c r="K20" s="15">
        <f t="shared" si="2"/>
        <v>0</v>
      </c>
      <c r="L20" s="14"/>
      <c r="M20" s="19"/>
      <c r="N20" s="15">
        <f t="shared" si="3"/>
        <v>0</v>
      </c>
      <c r="O20" s="14">
        <f t="shared" ref="O20:P25" si="7">+C20+F20+I20+L20</f>
        <v>0</v>
      </c>
      <c r="P20" s="19">
        <f t="shared" si="7"/>
        <v>0</v>
      </c>
      <c r="Q20" s="15">
        <f t="shared" si="4"/>
        <v>0</v>
      </c>
    </row>
    <row r="21" spans="2:17">
      <c r="B21" s="10" t="s">
        <v>31</v>
      </c>
      <c r="C21" s="14"/>
      <c r="D21" s="19"/>
      <c r="E21" s="15">
        <f t="shared" si="0"/>
        <v>0</v>
      </c>
      <c r="F21" s="14"/>
      <c r="G21" s="19"/>
      <c r="H21" s="15">
        <f t="shared" si="1"/>
        <v>0</v>
      </c>
      <c r="I21" s="14"/>
      <c r="J21" s="19"/>
      <c r="K21" s="15">
        <f t="shared" si="2"/>
        <v>0</v>
      </c>
      <c r="L21" s="14"/>
      <c r="M21" s="19"/>
      <c r="N21" s="15">
        <f t="shared" si="3"/>
        <v>0</v>
      </c>
      <c r="O21" s="14">
        <f t="shared" si="7"/>
        <v>0</v>
      </c>
      <c r="P21" s="19">
        <f t="shared" si="7"/>
        <v>0</v>
      </c>
      <c r="Q21" s="15">
        <f t="shared" si="4"/>
        <v>0</v>
      </c>
    </row>
    <row r="22" spans="2:17">
      <c r="B22" t="s">
        <v>32</v>
      </c>
      <c r="C22" s="14"/>
      <c r="D22" s="19"/>
      <c r="E22" s="15">
        <f t="shared" si="0"/>
        <v>0</v>
      </c>
      <c r="F22" s="14"/>
      <c r="G22" s="19"/>
      <c r="H22" s="15">
        <f t="shared" si="1"/>
        <v>0</v>
      </c>
      <c r="I22" s="14"/>
      <c r="J22" s="19"/>
      <c r="K22" s="15">
        <f t="shared" si="2"/>
        <v>0</v>
      </c>
      <c r="L22" s="14"/>
      <c r="M22" s="19"/>
      <c r="N22" s="15">
        <f t="shared" si="3"/>
        <v>0</v>
      </c>
      <c r="O22" s="14">
        <f t="shared" si="7"/>
        <v>0</v>
      </c>
      <c r="P22" s="19">
        <f t="shared" si="7"/>
        <v>0</v>
      </c>
      <c r="Q22" s="15">
        <f t="shared" si="4"/>
        <v>0</v>
      </c>
    </row>
    <row r="23" spans="2:17">
      <c r="B23" s="10" t="s">
        <v>33</v>
      </c>
      <c r="C23" s="14"/>
      <c r="D23" s="19"/>
      <c r="E23" s="15">
        <f t="shared" si="0"/>
        <v>0</v>
      </c>
      <c r="F23" s="14"/>
      <c r="G23" s="19"/>
      <c r="H23" s="15">
        <f t="shared" si="1"/>
        <v>0</v>
      </c>
      <c r="I23" s="14"/>
      <c r="J23" s="19"/>
      <c r="K23" s="15">
        <f t="shared" si="2"/>
        <v>0</v>
      </c>
      <c r="L23" s="14"/>
      <c r="M23" s="19"/>
      <c r="N23" s="15">
        <f t="shared" si="3"/>
        <v>0</v>
      </c>
      <c r="O23" s="14">
        <f t="shared" si="7"/>
        <v>0</v>
      </c>
      <c r="P23" s="19">
        <f t="shared" si="7"/>
        <v>0</v>
      </c>
      <c r="Q23" s="15">
        <f t="shared" si="4"/>
        <v>0</v>
      </c>
    </row>
    <row r="24" spans="2:17">
      <c r="B24" s="10" t="s">
        <v>34</v>
      </c>
      <c r="C24" s="14"/>
      <c r="D24" s="19"/>
      <c r="E24" s="15">
        <f t="shared" si="0"/>
        <v>0</v>
      </c>
      <c r="F24" s="14"/>
      <c r="G24" s="19"/>
      <c r="H24" s="15">
        <f t="shared" si="1"/>
        <v>0</v>
      </c>
      <c r="I24" s="14"/>
      <c r="J24" s="19"/>
      <c r="K24" s="15">
        <f t="shared" si="2"/>
        <v>0</v>
      </c>
      <c r="L24" s="14"/>
      <c r="M24" s="19"/>
      <c r="N24" s="15">
        <f t="shared" si="3"/>
        <v>0</v>
      </c>
      <c r="O24" s="14">
        <f t="shared" si="7"/>
        <v>0</v>
      </c>
      <c r="P24" s="19">
        <f t="shared" si="7"/>
        <v>0</v>
      </c>
      <c r="Q24" s="15">
        <f t="shared" si="4"/>
        <v>0</v>
      </c>
    </row>
    <row r="25" spans="2:17">
      <c r="B25" s="10" t="s">
        <v>35</v>
      </c>
      <c r="C25" s="14"/>
      <c r="D25" s="19"/>
      <c r="E25" s="15">
        <f t="shared" si="0"/>
        <v>0</v>
      </c>
      <c r="F25" s="14"/>
      <c r="G25" s="19"/>
      <c r="H25" s="15">
        <f t="shared" si="1"/>
        <v>0</v>
      </c>
      <c r="I25" s="14"/>
      <c r="J25" s="19"/>
      <c r="K25" s="15">
        <f t="shared" si="2"/>
        <v>0</v>
      </c>
      <c r="L25" s="14"/>
      <c r="M25" s="19"/>
      <c r="N25" s="15">
        <f t="shared" si="3"/>
        <v>0</v>
      </c>
      <c r="O25" s="14">
        <f t="shared" si="7"/>
        <v>0</v>
      </c>
      <c r="P25" s="19">
        <f t="shared" si="7"/>
        <v>0</v>
      </c>
      <c r="Q25" s="15">
        <f t="shared" si="4"/>
        <v>0</v>
      </c>
    </row>
    <row r="26" spans="2:17">
      <c r="B26" s="17" t="s">
        <v>57</v>
      </c>
      <c r="C26" s="23">
        <f>+SUM(C27:C29)</f>
        <v>0</v>
      </c>
      <c r="D26" s="24">
        <f>SUM(D27:D29)</f>
        <v>0</v>
      </c>
      <c r="E26" s="25">
        <f>+D26-C26</f>
        <v>0</v>
      </c>
      <c r="F26" s="23">
        <f>+SUM(F27:F29)</f>
        <v>0</v>
      </c>
      <c r="G26" s="24">
        <f>SUM(G27:G29)</f>
        <v>0</v>
      </c>
      <c r="H26" s="25">
        <f>+G26-F26</f>
        <v>0</v>
      </c>
      <c r="I26" s="23">
        <f>+SUM(I27:I29)</f>
        <v>0</v>
      </c>
      <c r="J26" s="24">
        <f>SUM(J27:J29)</f>
        <v>0</v>
      </c>
      <c r="K26" s="25">
        <f>+J26-I26</f>
        <v>0</v>
      </c>
      <c r="L26" s="23">
        <f>+SUM(L27:L29)</f>
        <v>0</v>
      </c>
      <c r="M26" s="24">
        <f>SUM(M27:M29)</f>
        <v>0</v>
      </c>
      <c r="N26" s="25">
        <f>+M26-L26</f>
        <v>0</v>
      </c>
      <c r="O26" s="23">
        <f>+SUM(O27:O29)</f>
        <v>0</v>
      </c>
      <c r="P26" s="24">
        <f>SUM(P27:P29)</f>
        <v>0</v>
      </c>
      <c r="Q26" s="25">
        <f>+P26-O26</f>
        <v>0</v>
      </c>
    </row>
    <row r="27" spans="2:17">
      <c r="B27" s="10" t="s">
        <v>58</v>
      </c>
      <c r="C27" s="14"/>
      <c r="D27" s="19"/>
      <c r="E27" s="15">
        <f>+D27-C27</f>
        <v>0</v>
      </c>
      <c r="F27" s="14"/>
      <c r="G27" s="19"/>
      <c r="H27" s="15">
        <f>+G27-F27</f>
        <v>0</v>
      </c>
      <c r="I27" s="14"/>
      <c r="J27" s="19"/>
      <c r="K27" s="15">
        <f>+J27-I27</f>
        <v>0</v>
      </c>
      <c r="L27" s="14"/>
      <c r="M27" s="19"/>
      <c r="N27" s="15">
        <f>+M27-L27</f>
        <v>0</v>
      </c>
      <c r="O27" s="14">
        <f t="shared" ref="O27:P29" si="8">+C27+F27+I27+L27</f>
        <v>0</v>
      </c>
      <c r="P27" s="19">
        <f t="shared" si="8"/>
        <v>0</v>
      </c>
      <c r="Q27" s="15">
        <f>+P27-O27</f>
        <v>0</v>
      </c>
    </row>
    <row r="28" spans="2:17">
      <c r="B28" s="10" t="s">
        <v>59</v>
      </c>
      <c r="C28" s="14"/>
      <c r="D28" s="19"/>
      <c r="E28" s="15">
        <f t="shared" ref="E28:E29" si="9">+D28-C28</f>
        <v>0</v>
      </c>
      <c r="F28" s="14"/>
      <c r="G28" s="19"/>
      <c r="H28" s="15">
        <f t="shared" ref="H28:H29" si="10">+G28-F28</f>
        <v>0</v>
      </c>
      <c r="I28" s="14"/>
      <c r="J28" s="19"/>
      <c r="K28" s="15">
        <f t="shared" ref="K28:K29" si="11">+J28-I28</f>
        <v>0</v>
      </c>
      <c r="L28" s="14"/>
      <c r="M28" s="19"/>
      <c r="N28" s="15">
        <f t="shared" ref="N28:N29" si="12">+M28-L28</f>
        <v>0</v>
      </c>
      <c r="O28" s="14">
        <f t="shared" si="8"/>
        <v>0</v>
      </c>
      <c r="P28" s="19">
        <f t="shared" si="8"/>
        <v>0</v>
      </c>
      <c r="Q28" s="15">
        <f t="shared" ref="Q28:Q29" si="13">+P28-O28</f>
        <v>0</v>
      </c>
    </row>
    <row r="29" spans="2:17">
      <c r="B29" s="18" t="s">
        <v>60</v>
      </c>
      <c r="C29" s="14"/>
      <c r="D29" s="19"/>
      <c r="E29" s="15">
        <f t="shared" si="9"/>
        <v>0</v>
      </c>
      <c r="F29" s="14"/>
      <c r="G29" s="19"/>
      <c r="H29" s="15">
        <f t="shared" si="10"/>
        <v>0</v>
      </c>
      <c r="I29" s="14"/>
      <c r="J29" s="19"/>
      <c r="K29" s="15">
        <f t="shared" si="11"/>
        <v>0</v>
      </c>
      <c r="L29" s="14"/>
      <c r="M29" s="19"/>
      <c r="N29" s="15">
        <f t="shared" si="12"/>
        <v>0</v>
      </c>
      <c r="O29" s="14">
        <f t="shared" si="8"/>
        <v>0</v>
      </c>
      <c r="P29" s="19">
        <f t="shared" si="8"/>
        <v>0</v>
      </c>
      <c r="Q29" s="15">
        <f t="shared" si="13"/>
        <v>0</v>
      </c>
    </row>
    <row r="30" spans="2:17">
      <c r="B30" s="9" t="s">
        <v>13</v>
      </c>
      <c r="C30" s="26">
        <f>+C9+C16+C19+C26</f>
        <v>0</v>
      </c>
      <c r="D30" s="27">
        <f>+D9+D16+D19+D26</f>
        <v>0</v>
      </c>
      <c r="E30" s="36">
        <f>+D30-C30</f>
        <v>0</v>
      </c>
      <c r="F30" s="26">
        <f>+F9+F16+F19+F26</f>
        <v>0</v>
      </c>
      <c r="G30" s="27">
        <f>+G9+G16+G19+G26</f>
        <v>0</v>
      </c>
      <c r="H30" s="36">
        <f>+G30-F30</f>
        <v>0</v>
      </c>
      <c r="I30" s="26">
        <f>+I9+I16+I19+I26</f>
        <v>0</v>
      </c>
      <c r="J30" s="27">
        <f>+J9+J16+J19+J26</f>
        <v>0</v>
      </c>
      <c r="K30" s="36">
        <f>+J30-I30</f>
        <v>0</v>
      </c>
      <c r="L30" s="26">
        <f>+L9+L16+L19+L26</f>
        <v>0</v>
      </c>
      <c r="M30" s="27">
        <f>+M9+M16+M19+M26</f>
        <v>0</v>
      </c>
      <c r="N30" s="43">
        <f>+M30-L30</f>
        <v>0</v>
      </c>
      <c r="O30" s="26">
        <f>+O9+O16+O19+O26</f>
        <v>0</v>
      </c>
      <c r="P30" s="27">
        <f>+P9+P16+P19+P26</f>
        <v>0</v>
      </c>
      <c r="Q30" s="43">
        <f>+P30-O30</f>
        <v>0</v>
      </c>
    </row>
    <row r="32" spans="2:17">
      <c r="M32" s="39"/>
      <c r="O32" s="44"/>
      <c r="P32" s="44"/>
    </row>
    <row r="33" spans="12:16">
      <c r="L33" s="39"/>
      <c r="M33" s="39"/>
      <c r="O33" s="44"/>
      <c r="P33" s="44"/>
    </row>
    <row r="34" spans="12:16">
      <c r="M34" s="39"/>
      <c r="O34" s="44"/>
      <c r="P34" s="44"/>
    </row>
    <row r="35" spans="12:16">
      <c r="M35" s="39"/>
      <c r="O35" s="44"/>
      <c r="P35" s="44"/>
    </row>
    <row r="36" spans="12:16">
      <c r="M36" s="39"/>
      <c r="O36" s="44"/>
      <c r="P36" s="44"/>
    </row>
    <row r="37" spans="12:16">
      <c r="M37" s="39"/>
      <c r="O37" s="44"/>
      <c r="P37" s="44"/>
    </row>
    <row r="38" spans="12:16">
      <c r="M38" s="39"/>
    </row>
  </sheetData>
  <mergeCells count="5">
    <mergeCell ref="C7:E7"/>
    <mergeCell ref="F7:H7"/>
    <mergeCell ref="I7:K7"/>
    <mergeCell ref="L7:N7"/>
    <mergeCell ref="O7:Q7"/>
  </mergeCells>
  <conditionalFormatting sqref="N9:N30">
    <cfRule type="cellIs" dxfId="25" priority="38" operator="lessThan">
      <formula>0</formula>
    </cfRule>
    <cfRule type="cellIs" dxfId="24" priority="39" operator="greaterThan">
      <formula>0</formula>
    </cfRule>
  </conditionalFormatting>
  <conditionalFormatting sqref="Q9:Q29">
    <cfRule type="cellIs" dxfId="23" priority="35" operator="lessThan">
      <formula>0</formula>
    </cfRule>
    <cfRule type="cellIs" dxfId="22" priority="36" operator="greaterThan">
      <formula>0</formula>
    </cfRule>
  </conditionalFormatting>
  <conditionalFormatting sqref="K16:K29">
    <cfRule type="cellIs" dxfId="21" priority="32" operator="lessThan">
      <formula>0</formula>
    </cfRule>
    <cfRule type="cellIs" dxfId="20" priority="33" operator="greaterThan">
      <formula>0</formula>
    </cfRule>
  </conditionalFormatting>
  <conditionalFormatting sqref="H16:H29">
    <cfRule type="cellIs" dxfId="19" priority="29" operator="lessThan">
      <formula>0</formula>
    </cfRule>
    <cfRule type="cellIs" dxfId="18" priority="30" operator="greaterThan">
      <formula>0</formula>
    </cfRule>
  </conditionalFormatting>
  <conditionalFormatting sqref="E9:E29">
    <cfRule type="cellIs" dxfId="17" priority="26" operator="lessThan">
      <formula>0</formula>
    </cfRule>
    <cfRule type="cellIs" dxfId="16" priority="27" operator="greaterThan">
      <formula>0</formula>
    </cfRule>
  </conditionalFormatting>
  <conditionalFormatting sqref="Q30">
    <cfRule type="cellIs" dxfId="15" priority="23" operator="lessThan">
      <formula>0</formula>
    </cfRule>
    <cfRule type="cellIs" dxfId="14" priority="24" operator="greaterThan">
      <formula>0</formula>
    </cfRule>
  </conditionalFormatting>
  <conditionalFormatting sqref="H9">
    <cfRule type="cellIs" dxfId="13" priority="20" operator="lessThan">
      <formula>0</formula>
    </cfRule>
    <cfRule type="cellIs" dxfId="12" priority="21" operator="greaterThan">
      <formula>0</formula>
    </cfRule>
  </conditionalFormatting>
  <conditionalFormatting sqref="H10:H15">
    <cfRule type="cellIs" dxfId="11" priority="17" operator="lessThan">
      <formula>0</formula>
    </cfRule>
    <cfRule type="cellIs" dxfId="10" priority="18" operator="greaterThan">
      <formula>0</formula>
    </cfRule>
  </conditionalFormatting>
  <conditionalFormatting sqref="K10:K15">
    <cfRule type="cellIs" dxfId="9" priority="14" operator="lessThan">
      <formula>0</formula>
    </cfRule>
    <cfRule type="cellIs" dxfId="8" priority="15" operator="greaterThan">
      <formula>0</formula>
    </cfRule>
  </conditionalFormatting>
  <conditionalFormatting sqref="K9">
    <cfRule type="cellIs" dxfId="7" priority="11" operator="lessThan">
      <formula>0</formula>
    </cfRule>
    <cfRule type="cellIs" dxfId="6" priority="12" operator="greaterThan">
      <formula>0</formula>
    </cfRule>
  </conditionalFormatting>
  <conditionalFormatting sqref="K30">
    <cfRule type="cellIs" dxfId="5" priority="8" operator="lessThan">
      <formula>0</formula>
    </cfRule>
    <cfRule type="cellIs" dxfId="4" priority="9" operator="greaterThan">
      <formula>0</formula>
    </cfRule>
  </conditionalFormatting>
  <conditionalFormatting sqref="H30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E30"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7" id="{569AC65D-A854-4AC3-88D6-2F2E79041F9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N9:N30</xm:sqref>
        </x14:conditionalFormatting>
        <x14:conditionalFormatting xmlns:xm="http://schemas.microsoft.com/office/excel/2006/main">
          <x14:cfRule type="iconSet" priority="34" id="{F830B6C5-721A-4539-BD7B-3F5AAE0B1E8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Q9:Q29</xm:sqref>
        </x14:conditionalFormatting>
        <x14:conditionalFormatting xmlns:xm="http://schemas.microsoft.com/office/excel/2006/main">
          <x14:cfRule type="iconSet" priority="31" id="{C16E87AE-AB86-4153-B781-5ACB061BB6B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K16:K29</xm:sqref>
        </x14:conditionalFormatting>
        <x14:conditionalFormatting xmlns:xm="http://schemas.microsoft.com/office/excel/2006/main">
          <x14:cfRule type="iconSet" priority="28" id="{495AA820-19A1-43D4-A5AD-03775D4069E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H16:H29</xm:sqref>
        </x14:conditionalFormatting>
        <x14:conditionalFormatting xmlns:xm="http://schemas.microsoft.com/office/excel/2006/main">
          <x14:cfRule type="iconSet" priority="25" id="{0369DCAF-0C8C-4DC6-8D2C-890F28FFB93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E9:E29</xm:sqref>
        </x14:conditionalFormatting>
        <x14:conditionalFormatting xmlns:xm="http://schemas.microsoft.com/office/excel/2006/main">
          <x14:cfRule type="iconSet" priority="22" id="{868330D6-84CF-445A-8783-32E4A860A51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Q30</xm:sqref>
        </x14:conditionalFormatting>
        <x14:conditionalFormatting xmlns:xm="http://schemas.microsoft.com/office/excel/2006/main">
          <x14:cfRule type="iconSet" priority="19" id="{9F7CACCB-9BFF-45B9-95FD-FADB5A722F3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H9</xm:sqref>
        </x14:conditionalFormatting>
        <x14:conditionalFormatting xmlns:xm="http://schemas.microsoft.com/office/excel/2006/main">
          <x14:cfRule type="iconSet" priority="16" id="{950478C6-881E-4DC5-A870-BBE352060F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H10:H15</xm:sqref>
        </x14:conditionalFormatting>
        <x14:conditionalFormatting xmlns:xm="http://schemas.microsoft.com/office/excel/2006/main">
          <x14:cfRule type="iconSet" priority="13" id="{C45BDD2C-4B9A-41CB-ADB5-874E7E8E49D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K10:K15</xm:sqref>
        </x14:conditionalFormatting>
        <x14:conditionalFormatting xmlns:xm="http://schemas.microsoft.com/office/excel/2006/main">
          <x14:cfRule type="iconSet" priority="10" id="{2765CC3F-E14B-496D-92ED-78DC94432B5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K9</xm:sqref>
        </x14:conditionalFormatting>
        <x14:conditionalFormatting xmlns:xm="http://schemas.microsoft.com/office/excel/2006/main">
          <x14:cfRule type="iconSet" priority="7" id="{6A9E089E-1657-4029-9DD6-850B088101A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K30</xm:sqref>
        </x14:conditionalFormatting>
        <x14:conditionalFormatting xmlns:xm="http://schemas.microsoft.com/office/excel/2006/main">
          <x14:cfRule type="iconSet" priority="4" id="{392BCBF0-5F35-47F3-B81F-3F48F7C9E58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H30</xm:sqref>
        </x14:conditionalFormatting>
        <x14:conditionalFormatting xmlns:xm="http://schemas.microsoft.com/office/excel/2006/main">
          <x14:cfRule type="iconSet" priority="1" id="{4711F740-EC1C-4EAF-A276-298EAF8D6D3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" iconId="2"/>
              <x14:cfIcon iconSet="NoIcons" iconId="0"/>
              <x14:cfIcon iconSet="3Symbols" iconId="0"/>
            </x14:iconSet>
          </x14:cfRule>
          <xm:sqref>E30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C4A815-7944-4231-B26B-9289E57D1D8B}"/>
</file>

<file path=customXml/itemProps2.xml><?xml version="1.0" encoding="utf-8"?>
<ds:datastoreItem xmlns:ds="http://schemas.openxmlformats.org/officeDocument/2006/customXml" ds:itemID="{87921BFD-373A-4994-A4F8-D7EA7F67AE38}"/>
</file>

<file path=customXml/itemProps3.xml><?xml version="1.0" encoding="utf-8"?>
<ds:datastoreItem xmlns:ds="http://schemas.openxmlformats.org/officeDocument/2006/customXml" ds:itemID="{35239D2A-33BA-4139-AB94-C681A550F5BB}"/>
</file>

<file path=docMetadata/LabelInfo.xml><?xml version="1.0" encoding="utf-8"?>
<clbl:labelList xmlns:clbl="http://schemas.microsoft.com/office/2020/mipLabelMetadata">
  <clbl:label id="{5567eafd-e777-42a5-91bb-9440fd43b893}" enabled="0" method="" siteId="{5567eafd-e777-42a5-91bb-9440fd43b89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>TM02930040</Template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Rosales-Quino,M (pgt)</cp:lastModifiedBy>
  <cp:revision/>
  <dcterms:created xsi:type="dcterms:W3CDTF">2025-11-19T14:43:16Z</dcterms:created>
  <dcterms:modified xsi:type="dcterms:W3CDTF">2025-11-21T21:08:26Z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